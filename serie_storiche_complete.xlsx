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otale" sheetId="1" state="visible" r:id="rId3"/>
    <sheet name="2023 regione" sheetId="2" state="visible" r:id="rId4"/>
    <sheet name="maschi" sheetId="3" state="visible" r:id="rId5"/>
    <sheet name="femmin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<sst xmlns="http://schemas.openxmlformats.org/spreadsheetml/2006/main" count="192" uniqueCount="74">
  <si>
    <t xml:space="preserve">Tabella 1</t>
  </si>
  <si>
    <t xml:space="preserve">Popolazione residente italiana</t>
  </si>
  <si>
    <t xml:space="preserve">Omicidi volontari</t>
  </si>
  <si>
    <t xml:space="preserve">Per 100 000 abitanti*</t>
  </si>
  <si>
    <t xml:space="preserve">RELAZIONE DELLA VITTIMA CON L'OMICIDA</t>
  </si>
  <si>
    <t xml:space="preserve">2022 (b)</t>
  </si>
  <si>
    <t xml:space="preserve">VALORI ASSOLUTI</t>
  </si>
  <si>
    <t xml:space="preserve">VALORI ASSOULUTI</t>
  </si>
  <si>
    <t xml:space="preserve">Partner (marito/moglie, convivente, fidanzato/a)</t>
  </si>
  <si>
    <t xml:space="preserve">Ex partner (ex marito/moglie, ex convivente, ex fidanzato/a)</t>
  </si>
  <si>
    <t xml:space="preserve">Altro parente</t>
  </si>
  <si>
    <t xml:space="preserve">Altro conoscente </t>
  </si>
  <si>
    <t xml:space="preserve">Autore sconosciuto alla vittima</t>
  </si>
  <si>
    <t xml:space="preserve">Autore non identificato</t>
  </si>
  <si>
    <t xml:space="preserve">Totale</t>
  </si>
  <si>
    <t xml:space="preserve">PER 100 000</t>
  </si>
  <si>
    <t xml:space="preserve">QUOZIENTI PER 100.000 ABITANTI</t>
  </si>
  <si>
    <t xml:space="preserve">COMPOSIZIONE PERCENTUALE</t>
  </si>
  <si>
    <t xml:space="preserve">COMPOSIZIONI PERCENTUALI</t>
  </si>
  <si>
    <t xml:space="preserve">-</t>
  </si>
  <si>
    <r>
      <rPr>
        <b val="true"/>
        <sz val="9"/>
        <rFont val="Arial"/>
        <family val="0"/>
        <charset val="1"/>
      </rPr>
      <t xml:space="preserve">Omicidi volontari consumati per sesso della vittima, relazione con l'autore e regione - </t>
    </r>
    <r>
      <rPr>
        <sz val="9"/>
        <rFont val="Arial"/>
        <family val="0"/>
        <charset val="1"/>
      </rPr>
      <t xml:space="preserve">valori assoluti e per 100.000 abitanti con le stesse caratteristiche (a).</t>
    </r>
  </si>
  <si>
    <t xml:space="preserve">Anno 2023</t>
  </si>
  <si>
    <t xml:space="preserve">REGIONI
RIPARTIZIONI GEOGRAFICHE</t>
  </si>
  <si>
    <t xml:space="preserve">MASCHI</t>
  </si>
  <si>
    <t xml:space="preserve">FEMMINE</t>
  </si>
  <si>
    <t xml:space="preserve">TOTALE</t>
  </si>
  <si>
    <t xml:space="preserve">Partner  o ex  partner 
(b)</t>
  </si>
  <si>
    <t xml:space="preserve">Altro 
parente</t>
  </si>
  <si>
    <t xml:space="preserve">Altro 
conoscente </t>
  </si>
  <si>
    <t xml:space="preserve">Piemonte </t>
  </si>
  <si>
    <t xml:space="preserve">Valle d'Aosta/
Vallée d'Aoste</t>
  </si>
  <si>
    <t xml:space="preserve">Liguria</t>
  </si>
  <si>
    <t xml:space="preserve">Lombardia</t>
  </si>
  <si>
    <t xml:space="preserve">Trentino-Alto Adige/Südtirol</t>
  </si>
  <si>
    <t xml:space="preserve">Bolzano/Bozen</t>
  </si>
  <si>
    <t xml:space="preserve">Trento</t>
  </si>
  <si>
    <t xml:space="preserve">Veneto</t>
  </si>
  <si>
    <t xml:space="preserve">Friuli-Venezia Giulia </t>
  </si>
  <si>
    <t xml:space="preserve">Emilia-Romagna</t>
  </si>
  <si>
    <t xml:space="preserve">Toscana</t>
  </si>
  <si>
    <t xml:space="preserve">Umbria</t>
  </si>
  <si>
    <t xml:space="preserve">Marche</t>
  </si>
  <si>
    <t xml:space="preserve">Lazio</t>
  </si>
  <si>
    <t xml:space="preserve">Abruzzo</t>
  </si>
  <si>
    <t xml:space="preserve">Molise</t>
  </si>
  <si>
    <t xml:space="preserve">Campania</t>
  </si>
  <si>
    <t xml:space="preserve">Puglia</t>
  </si>
  <si>
    <t xml:space="preserve">Basilicata</t>
  </si>
  <si>
    <t xml:space="preserve">Calabria</t>
  </si>
  <si>
    <t xml:space="preserve">Sicilia</t>
  </si>
  <si>
    <t xml:space="preserve">Sardegna</t>
  </si>
  <si>
    <t xml:space="preserve">Nord</t>
  </si>
  <si>
    <t xml:space="preserve">   Nord-ovest</t>
  </si>
  <si>
    <t xml:space="preserve">   Nord-est</t>
  </si>
  <si>
    <t xml:space="preserve">Centro</t>
  </si>
  <si>
    <t xml:space="preserve">Mezzogiorno</t>
  </si>
  <si>
    <t xml:space="preserve">   Sud</t>
  </si>
  <si>
    <t xml:space="preserve">   Isole</t>
  </si>
  <si>
    <t xml:space="preserve">ITALIA</t>
  </si>
  <si>
    <t xml:space="preserve">VALORI PER 100.000 ABITANTI</t>
  </si>
  <si>
    <t xml:space="preserve">Partner (moglie, convivente, fidanzato/a)</t>
  </si>
  <si>
    <t xml:space="preserve">Ex partner (ex moglie, ex convivente, ex fidanzato/a)</t>
  </si>
  <si>
    <t xml:space="preserve">QUOZIENTI PER 100.000 ABITANTI MASCHI</t>
  </si>
  <si>
    <t xml:space="preserve">Ex-partner (ex moglie, ex convivente, ex fidanzato/a)</t>
  </si>
  <si>
    <t xml:space="preserve">popolazione</t>
  </si>
  <si>
    <t xml:space="preserve">MASCHI: SERIE PER VIDEO</t>
  </si>
  <si>
    <t xml:space="preserve">Tasso partner/ex partner</t>
  </si>
  <si>
    <t xml:space="preserve">tasso intimo familiare (partner/ex partener/altro parente)</t>
  </si>
  <si>
    <t xml:space="preserve">anno</t>
  </si>
  <si>
    <t xml:space="preserve">Partner (marito, convivente, fidanzato/a)</t>
  </si>
  <si>
    <t xml:space="preserve">Ex partner (ex marito, ex convivente, ex-fidanzato/a)</t>
  </si>
  <si>
    <t xml:space="preserve">QUOZIENTI PER 100.000 ABITANTI FEMMINE</t>
  </si>
  <si>
    <t xml:space="preserve">popolazione femminile</t>
  </si>
  <si>
    <t xml:space="preserve">FEMMINE: SERIE PER VIDEO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</si>
</sst>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#,##0"/>
    <numFmt numFmtId="167" formatCode="* #,##0;\-* #,##0;* \-"/>
    <numFmt numFmtId="168" formatCode="#,##0.00"/>
    <numFmt numFmtId="169" formatCode="0"/>
    <numFmt numFmtId="170" formatCode="* #,##0.00;\-* #,##0.00;* \-"/>
    <numFmt numFmtId="171" formatCode="0.00"/>
    <numFmt numFmtId="172" formatCode="* #,##0.0;\-* #,##0.0;* \-"/>
    <numFmt numFmtId="173" formatCode="#,##0.0\ ;\-#,##0.0\ "/>
    <numFmt numFmtId="174" formatCode="0.0"/>
  </numFmts>
  <fonts count="14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Helvetica Neue"/>
      <family val="0"/>
      <charset val="1"/>
    </font>
    <font>
      <b val="true"/>
      <sz val="10"/>
      <name val="Helvetica Neue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7"/>
      <name val="Arial"/>
      <family val="0"/>
      <charset val="1"/>
    </font>
    <font>
      <i val="true"/>
      <sz val="7"/>
      <name val="Arial"/>
      <family val="0"/>
      <charset val="1"/>
    </font>
    <font>
      <b val="true"/>
      <sz val="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6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7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2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1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1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11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3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13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1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2" fontId="11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12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72" fontId="13" fillId="2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9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4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6"/>
  <sheetViews>
    <sheetView showFormulas="false" showGridLines="false" showRowColHeaders="true" showZeros="true" rightToLeft="false" tabSelected="false" showOutlineSymbols="true" defaultGridColor="true" view="normal" topLeftCell="AP1" colorId="64" zoomScale="32" zoomScaleNormal="32" zoomScalePageLayoutView="100" workbookViewId="0">
      <selection pane="topLeft" activeCell="AR15" activeCellId="0" sqref="AR15"/>
    </sheetView>
  </sheetViews>
  <sheetFormatPr defaultColWidth="16.35546875" defaultRowHeight="19.9" customHeight="true" zeroHeight="false" outlineLevelRow="0" outlineLevelCol="0"/>
  <cols>
    <col collapsed="false" customWidth="false" hidden="false" outlineLevel="0" max="16384" min="1" style="1" width="16.35"/>
  </cols>
  <sheetData>
    <row r="1" customFormat="false" ht="27.6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customFormat="false" ht="20.25" hidden="false" customHeight="true" outlineLevel="0" collapsed="false">
      <c r="A2" s="3"/>
      <c r="B2" s="3" t="n">
        <v>1983</v>
      </c>
      <c r="C2" s="3" t="n">
        <f aca="false" t="array" ref="C2:C2">B$2+1</f>
        <v>1984</v>
      </c>
      <c r="D2" s="3" t="n">
        <f aca="false" t="array" ref="D2:D2">C$2+1</f>
        <v>1985</v>
      </c>
      <c r="E2" s="3" t="n">
        <f aca="false" t="array" ref="E2:E2">D$2+1</f>
        <v>1986</v>
      </c>
      <c r="F2" s="3" t="n">
        <f aca="false" t="array" ref="F2:F2">E$2+1</f>
        <v>1987</v>
      </c>
      <c r="G2" s="3" t="n">
        <f aca="false" t="array" ref="G2:G2">F$2+1</f>
        <v>1988</v>
      </c>
      <c r="H2" s="3" t="n">
        <f aca="false" t="array" ref="H2:H2">G$2+1</f>
        <v>1989</v>
      </c>
      <c r="I2" s="3" t="n">
        <f aca="false" t="array" ref="I2:I2">H$2+1</f>
        <v>1990</v>
      </c>
      <c r="J2" s="3" t="n">
        <f aca="false" t="array" ref="J2:J2">I$2+1</f>
        <v>1991</v>
      </c>
      <c r="K2" s="3" t="n">
        <f aca="false" t="array" ref="K2:K2">J$2+1</f>
        <v>1992</v>
      </c>
      <c r="L2" s="3" t="n">
        <f aca="false" t="array" ref="L2:L2">K$2+1</f>
        <v>1993</v>
      </c>
      <c r="M2" s="3" t="n">
        <f aca="false" t="array" ref="M2:M2">L$2+1</f>
        <v>1994</v>
      </c>
      <c r="N2" s="3" t="n">
        <f aca="false" t="array" ref="N2:N2">M$2+1</f>
        <v>1995</v>
      </c>
      <c r="O2" s="3" t="n">
        <f aca="false" t="array" ref="O2:O2">N$2+1</f>
        <v>1996</v>
      </c>
      <c r="P2" s="3" t="n">
        <f aca="false" t="array" ref="P2:P2">O$2+1</f>
        <v>1997</v>
      </c>
      <c r="Q2" s="3" t="n">
        <f aca="false" t="array" ref="Q2:Q2">P$2+1</f>
        <v>1998</v>
      </c>
      <c r="R2" s="3" t="n">
        <f aca="false" t="array" ref="R2:R2">Q$2+1</f>
        <v>1999</v>
      </c>
      <c r="S2" s="3" t="n">
        <f aca="false" t="array" ref="S2:S2">R$2+1</f>
        <v>2000</v>
      </c>
      <c r="T2" s="3" t="n">
        <f aca="false" t="array" ref="T2:T2">S$2+1</f>
        <v>2001</v>
      </c>
      <c r="U2" s="3" t="n">
        <f aca="false" t="array" ref="U2:U2">T$2+1</f>
        <v>2002</v>
      </c>
      <c r="V2" s="3" t="n">
        <f aca="false" t="array" ref="V2:V2">U$2+1</f>
        <v>2003</v>
      </c>
      <c r="W2" s="3" t="n">
        <f aca="false" t="array" ref="W2:W2">V$2+1</f>
        <v>2004</v>
      </c>
      <c r="X2" s="3" t="n">
        <f aca="false" t="array" ref="X2:X2">W$2+1</f>
        <v>2005</v>
      </c>
      <c r="Y2" s="3" t="n">
        <f aca="false" t="array" ref="Y2:Y2">X$2+1</f>
        <v>2006</v>
      </c>
      <c r="Z2" s="3" t="n">
        <f aca="false" t="array" ref="Z2:Z2">Y$2+1</f>
        <v>2007</v>
      </c>
      <c r="AA2" s="3" t="n">
        <f aca="false" t="array" ref="AA2:AA2">Z$2+1</f>
        <v>2008</v>
      </c>
      <c r="AB2" s="3" t="n">
        <f aca="false" t="array" ref="AB2:AB2">AA$2+1</f>
        <v>2009</v>
      </c>
      <c r="AC2" s="3" t="n">
        <f aca="false" t="array" ref="AC2:AC2">AB$2+1</f>
        <v>2010</v>
      </c>
      <c r="AD2" s="3" t="n">
        <f aca="false" t="array" ref="AD2:AD2">AC$2+1</f>
        <v>2011</v>
      </c>
      <c r="AE2" s="3" t="n">
        <f aca="false" t="array" ref="AE2:AE2">AD$2+1</f>
        <v>2012</v>
      </c>
      <c r="AF2" s="3" t="n">
        <f aca="false" t="array" ref="AF2:AF2">AE$2+1</f>
        <v>2013</v>
      </c>
      <c r="AG2" s="3" t="n">
        <f aca="false" t="array" ref="AG2:AG2">AF$2+1</f>
        <v>2014</v>
      </c>
      <c r="AH2" s="3" t="n">
        <f aca="false" t="array" ref="AH2:AH2">AG$2+1</f>
        <v>2015</v>
      </c>
      <c r="AI2" s="3" t="n">
        <f aca="false" t="array" ref="AI2:AI2">AH$2+1</f>
        <v>2016</v>
      </c>
      <c r="AJ2" s="3" t="n">
        <f aca="false" t="array" ref="AJ2:AJ2">AI$2+1</f>
        <v>2017</v>
      </c>
      <c r="AK2" s="3" t="n">
        <f aca="false" t="array" ref="AK2:AK2">AJ$2+1</f>
        <v>2018</v>
      </c>
      <c r="AL2" s="3" t="n">
        <f aca="false" t="array" ref="AL2:AL2">AK$2+1</f>
        <v>2019</v>
      </c>
      <c r="AM2" s="3" t="n">
        <f aca="false" t="array" ref="AM2:AM2">AL$2+1</f>
        <v>2020</v>
      </c>
      <c r="AN2" s="3" t="n">
        <f aca="false" t="array" ref="AN2:AN2">AM$2+1</f>
        <v>2021</v>
      </c>
      <c r="AO2" s="3" t="n">
        <f aca="false" t="array" ref="AO2:AO2">AN$2+1</f>
        <v>2022</v>
      </c>
      <c r="AP2" s="3" t="n">
        <f aca="false" t="array" ref="AP2:AP2">AO$2+1</f>
        <v>2023</v>
      </c>
      <c r="AQ2" s="3" t="n">
        <f aca="false" t="array" ref="AQ2:AQ2">AP$2+1</f>
        <v>2024</v>
      </c>
      <c r="AR2" s="3" t="n">
        <f aca="false" t="array" ref="AR2:AR2">AQ$2+1</f>
        <v>2025</v>
      </c>
      <c r="AS2" s="4" t="n">
        <v>2026</v>
      </c>
    </row>
    <row r="3" customFormat="false" ht="32.25" hidden="false" customHeight="true" outlineLevel="0" collapsed="false">
      <c r="A3" s="5" t="s">
        <v>1</v>
      </c>
      <c r="B3" s="6" t="n">
        <v>56564074</v>
      </c>
      <c r="C3" s="6" t="n">
        <v>56576718</v>
      </c>
      <c r="D3" s="6" t="n">
        <v>56593071</v>
      </c>
      <c r="E3" s="6" t="n">
        <v>56596155</v>
      </c>
      <c r="F3" s="6" t="n">
        <v>56601931</v>
      </c>
      <c r="G3" s="6" t="n">
        <v>56629288</v>
      </c>
      <c r="H3" s="6" t="n">
        <v>56671780.5</v>
      </c>
      <c r="I3" s="6" t="n">
        <v>56719239.5</v>
      </c>
      <c r="J3" s="6" t="n">
        <v>56758521</v>
      </c>
      <c r="K3" s="6" t="n">
        <v>56797086.5</v>
      </c>
      <c r="L3" s="6" t="n">
        <v>56831821</v>
      </c>
      <c r="M3" s="6" t="n">
        <v>56843400</v>
      </c>
      <c r="N3" s="6" t="n">
        <v>56844302.5</v>
      </c>
      <c r="O3" s="6" t="n">
        <v>56860280.5</v>
      </c>
      <c r="P3" s="6" t="n">
        <v>56890371.5</v>
      </c>
      <c r="Q3" s="6" t="n">
        <v>56906744</v>
      </c>
      <c r="R3" s="6" t="n">
        <v>56916316.5</v>
      </c>
      <c r="S3" s="6" t="n">
        <v>56942108</v>
      </c>
      <c r="T3" s="6" t="n">
        <v>56974099.5</v>
      </c>
      <c r="U3" s="6" t="n">
        <v>57059006.5</v>
      </c>
      <c r="V3" s="6" t="n">
        <v>57313203</v>
      </c>
      <c r="W3" s="6" t="n">
        <v>57685326.5</v>
      </c>
      <c r="X3" s="6" t="n">
        <v>57969483.5</v>
      </c>
      <c r="Y3" s="6" t="n">
        <v>58143979</v>
      </c>
      <c r="Z3" s="6" t="n">
        <v>58438309.5</v>
      </c>
      <c r="AA3" s="6" t="n">
        <v>58826730.5</v>
      </c>
      <c r="AB3" s="6" t="n">
        <v>59095364.5</v>
      </c>
      <c r="AC3" s="6" t="n">
        <v>59277416.5</v>
      </c>
      <c r="AD3" s="6" t="n">
        <v>59379448.5</v>
      </c>
      <c r="AE3" s="6" t="n">
        <v>59539717</v>
      </c>
      <c r="AF3" s="6" t="n">
        <v>60233947.5</v>
      </c>
      <c r="AG3" s="6" t="n">
        <v>60789140</v>
      </c>
      <c r="AH3" s="6" t="n">
        <v>56576718</v>
      </c>
      <c r="AI3" s="6" t="n">
        <v>56593071</v>
      </c>
      <c r="AJ3" s="6" t="n">
        <v>56596155</v>
      </c>
      <c r="AK3" s="6" t="n">
        <v>56601931</v>
      </c>
      <c r="AL3" s="6" t="n">
        <v>56629288</v>
      </c>
      <c r="AM3" s="6" t="n">
        <v>56671780.5</v>
      </c>
      <c r="AN3" s="6" t="n">
        <v>56719239.5</v>
      </c>
      <c r="AO3" s="6" t="n">
        <v>56758521</v>
      </c>
      <c r="AP3" s="6" t="n">
        <v>56797086.5</v>
      </c>
      <c r="AQ3" s="6" t="n">
        <v>56831821</v>
      </c>
      <c r="AR3" s="6" t="n">
        <v>56843400</v>
      </c>
      <c r="AS3" s="7" t="n">
        <v>58936123</v>
      </c>
    </row>
    <row r="4" customFormat="false" ht="20.05" hidden="false" customHeight="true" outlineLevel="0" collapsed="false">
      <c r="A4" s="5" t="s">
        <v>2</v>
      </c>
      <c r="B4" s="6" t="n">
        <v>1219</v>
      </c>
      <c r="C4" s="6" t="n">
        <v>1047</v>
      </c>
      <c r="D4" s="6" t="n">
        <v>924</v>
      </c>
      <c r="E4" s="6" t="n">
        <v>871</v>
      </c>
      <c r="F4" s="6" t="n">
        <v>1069</v>
      </c>
      <c r="G4" s="6" t="n">
        <v>1255</v>
      </c>
      <c r="H4" s="6" t="n">
        <v>1563</v>
      </c>
      <c r="I4" s="6" t="n">
        <v>1773</v>
      </c>
      <c r="J4" s="6" t="n">
        <v>1916</v>
      </c>
      <c r="K4" s="6" t="n">
        <v>1461</v>
      </c>
      <c r="L4" s="6" t="n">
        <v>1065</v>
      </c>
      <c r="M4" s="6" t="n">
        <v>956</v>
      </c>
      <c r="N4" s="6" t="n">
        <v>1000</v>
      </c>
      <c r="O4" s="6" t="n">
        <v>943</v>
      </c>
      <c r="P4" s="6" t="n">
        <v>863</v>
      </c>
      <c r="Q4" s="6" t="n">
        <v>876</v>
      </c>
      <c r="R4" s="6" t="n">
        <v>805</v>
      </c>
      <c r="S4" s="6" t="n">
        <v>746</v>
      </c>
      <c r="T4" s="6" t="n">
        <v>704</v>
      </c>
      <c r="U4" s="6" t="n">
        <v>642</v>
      </c>
      <c r="V4" s="6" t="n">
        <v>716</v>
      </c>
      <c r="W4" s="6" t="n">
        <v>711</v>
      </c>
      <c r="X4" s="6" t="n">
        <v>600</v>
      </c>
      <c r="Y4" s="6" t="n">
        <v>620</v>
      </c>
      <c r="Z4" s="6" t="n">
        <v>632</v>
      </c>
      <c r="AA4" s="6" t="n">
        <v>613</v>
      </c>
      <c r="AB4" s="6" t="n">
        <v>589</v>
      </c>
      <c r="AC4" s="6" t="n">
        <v>528</v>
      </c>
      <c r="AD4" s="6" t="n">
        <v>551</v>
      </c>
      <c r="AE4" s="6" t="n">
        <v>528</v>
      </c>
      <c r="AF4" s="6" t="n">
        <v>502</v>
      </c>
      <c r="AG4" s="6" t="n">
        <v>476</v>
      </c>
      <c r="AH4" s="6" t="n">
        <v>469</v>
      </c>
      <c r="AI4" s="6" t="n">
        <v>400</v>
      </c>
      <c r="AJ4" s="6" t="n">
        <v>357</v>
      </c>
      <c r="AK4" s="6" t="n">
        <v>345</v>
      </c>
      <c r="AL4" s="6" t="n">
        <v>315</v>
      </c>
      <c r="AM4" s="8" t="n">
        <v>286</v>
      </c>
      <c r="AN4" s="8" t="n">
        <v>303</v>
      </c>
      <c r="AO4" s="8" t="n">
        <v>322</v>
      </c>
      <c r="AP4" s="8" t="n">
        <v>334</v>
      </c>
      <c r="AQ4" s="9" t="n">
        <v>335</v>
      </c>
      <c r="AR4" s="9" t="n">
        <v>286</v>
      </c>
    </row>
    <row r="5" customFormat="false" ht="32.05" hidden="false" customHeight="true" outlineLevel="0" collapsed="false">
      <c r="A5" s="5" t="s">
        <v>3</v>
      </c>
      <c r="B5" s="10" t="n">
        <f aca="false" t="array" ref="B5:B5">B4*100000/B3</f>
        <v>2.15507815084182</v>
      </c>
      <c r="C5" s="10" t="n">
        <f aca="false" t="array" ref="C5:C5">C4*100000/C3</f>
        <v>1.85058454610252</v>
      </c>
      <c r="D5" s="10" t="n">
        <f aca="false" t="array" ref="D5:D5">D4*100000/D3</f>
        <v>1.63270871093035</v>
      </c>
      <c r="E5" s="10" t="n">
        <f aca="false" t="array" ref="E5:E5">E4*100000/E3</f>
        <v>1.53897380484593</v>
      </c>
      <c r="F5" s="10" t="n">
        <f aca="false" t="array" ref="F5:F5">F4*100000/F3</f>
        <v>1.88862814591962</v>
      </c>
      <c r="G5" s="10" t="n">
        <f aca="false" t="array" ref="G5:G5">G4*100000/G3</f>
        <v>2.21616771872534</v>
      </c>
      <c r="H5" s="10" t="n">
        <f aca="false" t="array" ref="H5:H5">H4*100000/H3</f>
        <v>2.75798640206831</v>
      </c>
      <c r="I5" s="10" t="n">
        <f aca="false" t="array" ref="I5:I5">I4*100000/I3</f>
        <v>3.12592343555664</v>
      </c>
      <c r="J5" s="10" t="n">
        <f aca="false" t="array" ref="J5:J5">J4*100000/J3</f>
        <v>3.37570459244349</v>
      </c>
      <c r="K5" s="10" t="n">
        <f aca="false" t="array" ref="K5:K5">K4*100000/K3</f>
        <v>2.57231504295559</v>
      </c>
      <c r="L5" s="10" t="n">
        <f aca="false" t="array" ref="L5:L5">L4*100000/L3</f>
        <v>1.87395015901391</v>
      </c>
      <c r="M5" s="10" t="n">
        <f aca="false" t="array" ref="M5:M5">M4*100000/M3</f>
        <v>1.68181354387669</v>
      </c>
      <c r="N5" s="10" t="n">
        <f aca="false" t="array" ref="N5:N5">N4*100000/N3</f>
        <v>1.75919125755831</v>
      </c>
      <c r="O5" s="10" t="n">
        <f aca="false" t="array" ref="O5:O5">O4*100000/O3</f>
        <v>1.65845119248049</v>
      </c>
      <c r="P5" s="10" t="n">
        <f aca="false" t="array" ref="P5:P5">P4*100000/P3</f>
        <v>1.51695265340287</v>
      </c>
      <c r="Q5" s="10" t="n">
        <f aca="false" t="array" ref="Q5:Q5">Q4*100000/Q3</f>
        <v>1.53936060724191</v>
      </c>
      <c r="R5" s="10" t="n">
        <f aca="false" t="array" ref="R5:R5">R4*100000/R3</f>
        <v>1.41435716417102</v>
      </c>
      <c r="S5" s="10" t="n">
        <f aca="false" t="array" ref="S5:S5">S4*100000/S3</f>
        <v>1.31010253431433</v>
      </c>
      <c r="T5" s="10" t="n">
        <f aca="false" t="array" ref="T5:T5">T4*100000/T3</f>
        <v>1.23564919178758</v>
      </c>
      <c r="U5" s="10" t="n">
        <f aca="false" t="array" ref="U5:U5">U4*100000/U3</f>
        <v>1.12515103115229</v>
      </c>
      <c r="V5" s="10" t="n">
        <f aca="false" t="array" ref="V5:V5">V4*100000/V3</f>
        <v>1.24927584312466</v>
      </c>
      <c r="W5" s="10" t="n">
        <f aca="false" t="array" ref="W5:W5">W4*100000/W3</f>
        <v>1.23254914748554</v>
      </c>
      <c r="X5" s="10" t="n">
        <f aca="false" t="array" ref="X5:X5">X4*100000/X3</f>
        <v>1.03502733468377</v>
      </c>
      <c r="Y5" s="10" t="n">
        <f aca="false" t="array" ref="Y5:Y5">Y4*100000/Y3</f>
        <v>1.06631849189406</v>
      </c>
      <c r="Z5" s="10" t="n">
        <f aca="false" t="array" ref="Z5:Z5">Z4*100000/Z3</f>
        <v>1.08148234507023</v>
      </c>
      <c r="AA5" s="10" t="n">
        <f aca="false" t="array" ref="AA5:AA5">AA4*100000/AA3</f>
        <v>1.04204329356703</v>
      </c>
      <c r="AB5" s="10" t="n">
        <f aca="false" t="array" ref="AB5:AB5">AB4*100000/AB3</f>
        <v>0.996694080802226</v>
      </c>
      <c r="AC5" s="10" t="n">
        <f aca="false" t="array" ref="AC5:AC5">AC4*100000/AC3</f>
        <v>0.890727078161377</v>
      </c>
      <c r="AD5" s="10" t="n">
        <f aca="false" t="array" ref="AD5:AD5">AD4*100000/AD3</f>
        <v>0.927930477495088</v>
      </c>
      <c r="AE5" s="10" t="n">
        <f aca="false" t="array" ref="AE5:AE5">AE4*100000/AE3</f>
        <v>0.886803005798634</v>
      </c>
      <c r="AF5" s="10" t="n">
        <f aca="false" t="array" ref="AF5:AF5">AF4*100000/AF3</f>
        <v>0.833417069336191</v>
      </c>
      <c r="AG5" s="10" t="n">
        <f aca="false" t="array" ref="AG5:AG5">AG4*100000/AG3</f>
        <v>0.783034601246209</v>
      </c>
      <c r="AH5" s="10" t="n">
        <f aca="false" t="array" ref="AH5:AH5">AH4*100000/AH3</f>
        <v>0.828962896009627</v>
      </c>
      <c r="AI5" s="10" t="n">
        <f aca="false" t="array" ref="AI5:AI5">AI4*100000/AI3</f>
        <v>0.706800307762058</v>
      </c>
      <c r="AJ5" s="10" t="n">
        <f aca="false" t="array" ref="AJ5:AJ5">AJ4*100000/AJ3</f>
        <v>0.630784900493682</v>
      </c>
      <c r="AK5" s="10" t="n">
        <f aca="false" t="array" ref="AK5:AK5">AK4*100000/AK3</f>
        <v>0.609519841293047</v>
      </c>
      <c r="AL5" s="10" t="n">
        <f aca="false" t="array" ref="AL5:AL5">AL4*100000/AL3</f>
        <v>0.556249268046598</v>
      </c>
      <c r="AM5" s="10" t="n">
        <f aca="false" t="array" ref="AM5:AM5">AM4*100000/AM3</f>
        <v>0.504660339725871</v>
      </c>
      <c r="AN5" s="10" t="n">
        <f aca="false" t="array" ref="AN5:AN5">AN4*100000/AN3</f>
        <v>0.534210265636584</v>
      </c>
      <c r="AO5" s="10" t="n">
        <f aca="false" t="array" ref="AO5:AO5">AO4*100000/AO3</f>
        <v>0.567315698730064</v>
      </c>
      <c r="AP5" s="10" t="n">
        <f aca="false" t="array" ref="AP5:AP5">AP4*100000/AP3</f>
        <v>0.588058332886494</v>
      </c>
      <c r="AQ5" s="10" t="n">
        <f aca="false" t="array" ref="AQ5:AQ5">AQ4*100000/AQ3</f>
        <v>0.589458500722685</v>
      </c>
      <c r="AR5" s="10" t="n">
        <f aca="false" t="array" ref="AR5:AR5">AR4*100000/AR3</f>
        <v>0.503136687812481</v>
      </c>
    </row>
    <row r="6" customFormat="false" ht="20.05" hidden="false" customHeight="true" outlineLevel="0" collapsed="false">
      <c r="A6" s="3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customFormat="false" ht="20.35" hidden="false" customHeight="true" outlineLevel="0" collapsed="false">
      <c r="A7" s="3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customFormat="false" ht="44.7" hidden="false" customHeight="true" outlineLevel="0" collapsed="false">
      <c r="A8" s="5" t="s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1" t="n">
        <v>2002</v>
      </c>
      <c r="V8" s="11" t="n">
        <v>2003</v>
      </c>
      <c r="W8" s="11" t="n">
        <v>2004</v>
      </c>
      <c r="X8" s="11" t="n">
        <v>2005</v>
      </c>
      <c r="Y8" s="11" t="n">
        <v>2006</v>
      </c>
      <c r="Z8" s="11" t="n">
        <v>2007</v>
      </c>
      <c r="AA8" s="11" t="n">
        <v>2008</v>
      </c>
      <c r="AB8" s="11" t="n">
        <v>2009</v>
      </c>
      <c r="AC8" s="11" t="n">
        <v>2010</v>
      </c>
      <c r="AD8" s="11" t="n">
        <v>2011</v>
      </c>
      <c r="AE8" s="11" t="n">
        <v>2012</v>
      </c>
      <c r="AF8" s="11" t="n">
        <v>2013</v>
      </c>
      <c r="AG8" s="11" t="n">
        <v>2014</v>
      </c>
      <c r="AH8" s="11" t="n">
        <v>2015</v>
      </c>
      <c r="AI8" s="11" t="n">
        <v>2016</v>
      </c>
      <c r="AJ8" s="11" t="n">
        <v>2017</v>
      </c>
      <c r="AK8" s="11" t="n">
        <v>2018</v>
      </c>
      <c r="AL8" s="11" t="n">
        <v>2019</v>
      </c>
      <c r="AM8" s="11" t="n">
        <v>2020</v>
      </c>
      <c r="AN8" s="11" t="n">
        <v>2021</v>
      </c>
      <c r="AO8" s="12" t="s">
        <v>5</v>
      </c>
      <c r="AP8" s="13" t="n">
        <v>2023</v>
      </c>
      <c r="AQ8" s="9" t="n">
        <v>2024</v>
      </c>
      <c r="AR8" s="9" t="n">
        <v>2025</v>
      </c>
    </row>
    <row r="9" customFormat="false" ht="20.7" hidden="false" customHeight="true" outlineLevel="0" collapsed="false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9"/>
      <c r="AQ9" s="9"/>
      <c r="AR9" s="9"/>
    </row>
    <row r="10" customFormat="false" ht="20.7" hidden="false" customHeight="true" outlineLevel="0" collapsed="false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5" t="s">
        <v>6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9"/>
      <c r="AQ10" s="9"/>
      <c r="AR10" s="9"/>
    </row>
    <row r="11" customFormat="false" ht="26.7" hidden="false" customHeight="true" outlineLevel="0" collapsed="false">
      <c r="A11" s="5" t="s">
        <v>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9"/>
      <c r="AQ11" s="9"/>
      <c r="AR11" s="9"/>
    </row>
    <row r="12" customFormat="false" ht="56.7" hidden="false" customHeight="true" outlineLevel="0" collapsed="false">
      <c r="A12" s="5" t="s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7" t="n">
        <v>82</v>
      </c>
      <c r="V12" s="17" t="n">
        <v>96</v>
      </c>
      <c r="W12" s="17" t="n">
        <v>93</v>
      </c>
      <c r="X12" s="17" t="n">
        <v>71</v>
      </c>
      <c r="Y12" s="17" t="n">
        <v>101</v>
      </c>
      <c r="Z12" s="17" t="n">
        <v>77</v>
      </c>
      <c r="AA12" s="17" t="n">
        <v>78</v>
      </c>
      <c r="AB12" s="17" t="n">
        <v>85</v>
      </c>
      <c r="AC12" s="17" t="n">
        <v>57</v>
      </c>
      <c r="AD12" s="17" t="n">
        <v>78</v>
      </c>
      <c r="AE12" s="17" t="n">
        <v>64</v>
      </c>
      <c r="AF12" s="17" t="n">
        <v>67</v>
      </c>
      <c r="AG12" s="17" t="n">
        <v>80</v>
      </c>
      <c r="AH12" s="17" t="n">
        <v>70</v>
      </c>
      <c r="AI12" s="17" t="n">
        <v>65</v>
      </c>
      <c r="AJ12" s="17" t="n">
        <v>51</v>
      </c>
      <c r="AK12" s="17" t="n">
        <v>68</v>
      </c>
      <c r="AL12" s="17" t="n">
        <v>65</v>
      </c>
      <c r="AM12" s="17" t="n">
        <v>65</v>
      </c>
      <c r="AN12" s="17" t="n">
        <v>61</v>
      </c>
      <c r="AO12" s="17" t="n">
        <v>69</v>
      </c>
      <c r="AP12" s="17" t="n">
        <v>54</v>
      </c>
      <c r="AQ12" s="9" t="n">
        <v>72</v>
      </c>
      <c r="AR12" s="9" t="n">
        <v>71</v>
      </c>
    </row>
    <row r="13" customFormat="false" ht="56.7" hidden="false" customHeight="true" outlineLevel="0" collapsed="false">
      <c r="A13" s="5" t="s">
        <v>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7" t="n">
        <v>0</v>
      </c>
      <c r="V13" s="17" t="n">
        <v>0</v>
      </c>
      <c r="W13" s="17" t="n">
        <v>5</v>
      </c>
      <c r="X13" s="17" t="n">
        <v>4</v>
      </c>
      <c r="Y13" s="17" t="n">
        <v>1</v>
      </c>
      <c r="Z13" s="17" t="n">
        <v>4</v>
      </c>
      <c r="AA13" s="17" t="n">
        <v>10</v>
      </c>
      <c r="AB13" s="17" t="n">
        <v>14</v>
      </c>
      <c r="AC13" s="17" t="n">
        <v>19</v>
      </c>
      <c r="AD13" s="17" t="n">
        <v>14</v>
      </c>
      <c r="AE13" s="17" t="n">
        <v>18</v>
      </c>
      <c r="AF13" s="17" t="n">
        <v>17</v>
      </c>
      <c r="AG13" s="17" t="n">
        <v>12</v>
      </c>
      <c r="AH13" s="17" t="n">
        <v>10</v>
      </c>
      <c r="AI13" s="17" t="n">
        <v>18</v>
      </c>
      <c r="AJ13" s="17" t="n">
        <v>11</v>
      </c>
      <c r="AK13" s="17" t="n">
        <v>10</v>
      </c>
      <c r="AL13" s="17" t="n">
        <v>14</v>
      </c>
      <c r="AM13" s="17" t="n">
        <v>7</v>
      </c>
      <c r="AN13" s="17" t="n">
        <v>17</v>
      </c>
      <c r="AO13" s="17"/>
      <c r="AP13" s="17" t="n">
        <v>15</v>
      </c>
      <c r="AQ13" s="9"/>
      <c r="AR13" s="9"/>
    </row>
    <row r="14" customFormat="false" ht="20.7" hidden="false" customHeight="true" outlineLevel="0" collapsed="false">
      <c r="A14" s="5" t="s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7" t="n">
        <v>53</v>
      </c>
      <c r="V14" s="17" t="n">
        <v>54</v>
      </c>
      <c r="W14" s="17" t="n">
        <v>65</v>
      </c>
      <c r="X14" s="17" t="n">
        <v>59</v>
      </c>
      <c r="Y14" s="17" t="n">
        <v>74</v>
      </c>
      <c r="Z14" s="17" t="n">
        <v>80</v>
      </c>
      <c r="AA14" s="17" t="n">
        <v>81</v>
      </c>
      <c r="AB14" s="17" t="n">
        <v>72</v>
      </c>
      <c r="AC14" s="17" t="n">
        <v>82</v>
      </c>
      <c r="AD14" s="17" t="n">
        <v>79</v>
      </c>
      <c r="AE14" s="17" t="n">
        <v>70</v>
      </c>
      <c r="AF14" s="17" t="n">
        <v>76</v>
      </c>
      <c r="AG14" s="17" t="n">
        <v>86</v>
      </c>
      <c r="AH14" s="17" t="n">
        <v>74</v>
      </c>
      <c r="AI14" s="17" t="n">
        <v>66</v>
      </c>
      <c r="AJ14" s="17" t="n">
        <v>64</v>
      </c>
      <c r="AK14" s="17" t="n">
        <v>67</v>
      </c>
      <c r="AL14" s="17" t="n">
        <v>71</v>
      </c>
      <c r="AM14" s="17" t="n">
        <v>69</v>
      </c>
      <c r="AN14" s="17" t="n">
        <v>61</v>
      </c>
      <c r="AO14" s="17" t="n">
        <v>70</v>
      </c>
      <c r="AP14" s="17" t="n">
        <v>71</v>
      </c>
      <c r="AQ14" s="9" t="n">
        <f aca="false">158-72</f>
        <v>86</v>
      </c>
      <c r="AR14" s="9" t="n">
        <f aca="false">128-71</f>
        <v>57</v>
      </c>
    </row>
    <row r="15" customFormat="false" ht="20.7" hidden="false" customHeight="true" outlineLevel="0" collapsed="false">
      <c r="A15" s="5" t="s">
        <v>11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7" t="n">
        <v>0</v>
      </c>
      <c r="V15" s="17" t="n">
        <v>0</v>
      </c>
      <c r="W15" s="17" t="n">
        <v>15</v>
      </c>
      <c r="X15" s="17" t="n">
        <v>24</v>
      </c>
      <c r="Y15" s="17" t="n">
        <v>16</v>
      </c>
      <c r="Z15" s="17" t="n">
        <v>23</v>
      </c>
      <c r="AA15" s="17" t="n">
        <v>29</v>
      </c>
      <c r="AB15" s="17" t="n">
        <v>55</v>
      </c>
      <c r="AC15" s="17" t="n">
        <v>55</v>
      </c>
      <c r="AD15" s="17" t="n">
        <v>68</v>
      </c>
      <c r="AE15" s="17" t="n">
        <v>48</v>
      </c>
      <c r="AF15" s="17" t="n">
        <v>52</v>
      </c>
      <c r="AG15" s="17" t="n">
        <v>50</v>
      </c>
      <c r="AH15" s="17" t="n">
        <v>54</v>
      </c>
      <c r="AI15" s="17" t="n">
        <v>29</v>
      </c>
      <c r="AJ15" s="17" t="n">
        <v>31</v>
      </c>
      <c r="AK15" s="17" t="n">
        <v>25</v>
      </c>
      <c r="AL15" s="17" t="n">
        <v>21</v>
      </c>
      <c r="AM15" s="17" t="n">
        <v>33</v>
      </c>
      <c r="AN15" s="17" t="n">
        <v>34</v>
      </c>
      <c r="AO15" s="17" t="n">
        <v>23</v>
      </c>
      <c r="AP15" s="17" t="n">
        <v>44</v>
      </c>
      <c r="AQ15" s="9"/>
      <c r="AR15" s="9"/>
    </row>
    <row r="16" customFormat="false" ht="44.7" hidden="false" customHeight="true" outlineLevel="0" collapsed="false">
      <c r="A16" s="5" t="s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7" t="n">
        <v>289</v>
      </c>
      <c r="V16" s="17" t="n">
        <v>298</v>
      </c>
      <c r="W16" s="17" t="n">
        <v>252</v>
      </c>
      <c r="X16" s="17" t="n">
        <v>212</v>
      </c>
      <c r="Y16" s="17" t="n">
        <v>208</v>
      </c>
      <c r="Z16" s="17" t="n">
        <v>234</v>
      </c>
      <c r="AA16" s="17" t="n">
        <v>212</v>
      </c>
      <c r="AB16" s="17" t="n">
        <v>195</v>
      </c>
      <c r="AC16" s="17" t="n">
        <v>167</v>
      </c>
      <c r="AD16" s="17" t="n">
        <v>161</v>
      </c>
      <c r="AE16" s="17" t="n">
        <v>147</v>
      </c>
      <c r="AF16" s="17" t="n">
        <v>130</v>
      </c>
      <c r="AG16" s="17" t="n">
        <v>123</v>
      </c>
      <c r="AH16" s="17" t="n">
        <v>136</v>
      </c>
      <c r="AI16" s="17" t="n">
        <v>118</v>
      </c>
      <c r="AJ16" s="17" t="n">
        <v>83</v>
      </c>
      <c r="AK16" s="17" t="n">
        <v>96</v>
      </c>
      <c r="AL16" s="17" t="n">
        <v>100</v>
      </c>
      <c r="AM16" s="17" t="n">
        <v>86</v>
      </c>
      <c r="AN16" s="17" t="n">
        <v>92</v>
      </c>
      <c r="AO16" s="17" t="n">
        <v>123</v>
      </c>
      <c r="AP16" s="17" t="n">
        <v>115</v>
      </c>
      <c r="AQ16" s="9"/>
      <c r="AR16" s="9"/>
    </row>
    <row r="17" customFormat="false" ht="32.7" hidden="false" customHeight="true" outlineLevel="0" collapsed="false">
      <c r="A17" s="5" t="s">
        <v>13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7" t="n">
        <v>218</v>
      </c>
      <c r="V17" s="17" t="n">
        <v>268</v>
      </c>
      <c r="W17" s="17" t="n">
        <v>281</v>
      </c>
      <c r="X17" s="17" t="n">
        <v>230</v>
      </c>
      <c r="Y17" s="17" t="n">
        <v>220</v>
      </c>
      <c r="Z17" s="17" t="n">
        <v>214</v>
      </c>
      <c r="AA17" s="17" t="n">
        <v>203</v>
      </c>
      <c r="AB17" s="17" t="n">
        <v>168</v>
      </c>
      <c r="AC17" s="17" t="n">
        <v>148</v>
      </c>
      <c r="AD17" s="17" t="n">
        <v>151</v>
      </c>
      <c r="AE17" s="17" t="n">
        <v>181</v>
      </c>
      <c r="AF17" s="17" t="n">
        <v>160</v>
      </c>
      <c r="AG17" s="17" t="n">
        <v>125</v>
      </c>
      <c r="AH17" s="17" t="n">
        <v>125</v>
      </c>
      <c r="AI17" s="17" t="n">
        <v>104</v>
      </c>
      <c r="AJ17" s="17" t="n">
        <v>117</v>
      </c>
      <c r="AK17" s="17" t="n">
        <v>79</v>
      </c>
      <c r="AL17" s="17" t="n">
        <v>44</v>
      </c>
      <c r="AM17" s="17" t="n">
        <v>26</v>
      </c>
      <c r="AN17" s="17" t="n">
        <v>38</v>
      </c>
      <c r="AO17" s="17" t="n">
        <v>37</v>
      </c>
      <c r="AP17" s="17" t="n">
        <v>35</v>
      </c>
      <c r="AQ17" s="9"/>
      <c r="AR17" s="9"/>
    </row>
    <row r="18" customFormat="false" ht="20.7" hidden="false" customHeight="true" outlineLevel="0" collapsed="false">
      <c r="A18" s="5" t="s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8" t="n">
        <v>642</v>
      </c>
      <c r="V18" s="8" t="n">
        <v>716</v>
      </c>
      <c r="W18" s="8" t="n">
        <v>711</v>
      </c>
      <c r="X18" s="8" t="n">
        <v>600</v>
      </c>
      <c r="Y18" s="8" t="n">
        <v>620</v>
      </c>
      <c r="Z18" s="8" t="n">
        <v>632</v>
      </c>
      <c r="AA18" s="8" t="n">
        <v>613</v>
      </c>
      <c r="AB18" s="8" t="n">
        <v>589</v>
      </c>
      <c r="AC18" s="8" t="n">
        <v>528</v>
      </c>
      <c r="AD18" s="8" t="n">
        <v>551</v>
      </c>
      <c r="AE18" s="8" t="n">
        <v>528</v>
      </c>
      <c r="AF18" s="8" t="n">
        <v>502</v>
      </c>
      <c r="AG18" s="8" t="n">
        <v>476</v>
      </c>
      <c r="AH18" s="8" t="n">
        <v>469</v>
      </c>
      <c r="AI18" s="8" t="n">
        <v>400</v>
      </c>
      <c r="AJ18" s="8" t="n">
        <v>357</v>
      </c>
      <c r="AK18" s="8" t="n">
        <v>345</v>
      </c>
      <c r="AL18" s="8" t="n">
        <v>315</v>
      </c>
      <c r="AM18" s="8" t="n">
        <v>286</v>
      </c>
      <c r="AN18" s="8" t="n">
        <v>303</v>
      </c>
      <c r="AO18" s="8" t="n">
        <v>322</v>
      </c>
      <c r="AP18" s="8" t="n">
        <v>334</v>
      </c>
      <c r="AQ18" s="9" t="n">
        <v>335</v>
      </c>
      <c r="AR18" s="9" t="n">
        <v>286</v>
      </c>
    </row>
    <row r="19" customFormat="false" ht="20.7" hidden="false" customHeight="true" outlineLevel="0" collapsed="false">
      <c r="A19" s="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9"/>
      <c r="AQ19" s="9"/>
      <c r="AR19" s="9"/>
    </row>
    <row r="20" customFormat="false" ht="20.7" hidden="false" customHeight="true" outlineLevel="0" collapsed="false">
      <c r="A20" s="5" t="s">
        <v>15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5" t="s">
        <v>16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9"/>
      <c r="AQ20" s="9"/>
      <c r="AR20" s="9"/>
    </row>
    <row r="21" customFormat="false" ht="56.7" hidden="false" customHeight="true" outlineLevel="0" collapsed="false">
      <c r="A21" s="5" t="s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8" t="n">
        <v>0.14363330319603</v>
      </c>
      <c r="V21" s="18" t="n">
        <v>0.167249764386894</v>
      </c>
      <c r="W21" s="18" t="n">
        <v>0.160821249446572</v>
      </c>
      <c r="X21" s="18" t="n">
        <v>0.122063005072216</v>
      </c>
      <c r="Y21" s="18" t="n">
        <v>0.172945618594414</v>
      </c>
      <c r="Z21" s="18" t="n">
        <v>0.131049895000952</v>
      </c>
      <c r="AA21" s="18" t="n">
        <v>0.131731877900999</v>
      </c>
      <c r="AB21" s="18" t="n">
        <v>0.142724123973599</v>
      </c>
      <c r="AC21" s="18" t="n">
        <v>0.095286802954155</v>
      </c>
      <c r="AD21" s="18" t="n">
        <v>0.12994187050423</v>
      </c>
      <c r="AE21" s="18" t="n">
        <v>0.106327752272685</v>
      </c>
      <c r="AF21" s="18" t="n">
        <v>0.111089716668662</v>
      </c>
      <c r="AG21" s="18" t="n">
        <v>0.132624440227466</v>
      </c>
      <c r="AH21" s="18" t="n">
        <v>0.116221915420348</v>
      </c>
      <c r="AI21" s="18" t="n">
        <v>0.108125690559278</v>
      </c>
      <c r="AJ21" s="18" t="n">
        <v>0.0849968104946862</v>
      </c>
      <c r="AK21" s="18" t="n">
        <v>0.11356572476869</v>
      </c>
      <c r="AL21" s="18" t="n">
        <v>0.108824712277297</v>
      </c>
      <c r="AM21" s="18" t="n">
        <v>0.109356085208949</v>
      </c>
      <c r="AN21" s="18" t="n">
        <v>0.103156987702994</v>
      </c>
      <c r="AO21" s="18" t="n">
        <v>0.117067360813907</v>
      </c>
      <c r="AP21" s="18" t="n">
        <v>0.0915355469397251</v>
      </c>
      <c r="AQ21" s="9"/>
      <c r="AR21" s="9"/>
    </row>
    <row r="22" customFormat="false" ht="56.7" hidden="false" customHeight="true" outlineLevel="0" collapsed="false">
      <c r="A22" s="5" t="s">
        <v>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8" t="n">
        <v>0</v>
      </c>
      <c r="V22" s="18" t="n">
        <v>0</v>
      </c>
      <c r="W22" s="18" t="n">
        <v>0.00864630373368665</v>
      </c>
      <c r="X22" s="18" t="n">
        <v>0.00687678901815304</v>
      </c>
      <c r="Y22" s="18" t="n">
        <v>0.00171233285737044</v>
      </c>
      <c r="Z22" s="18" t="n">
        <v>0.00680778675329621</v>
      </c>
      <c r="AA22" s="18" t="n">
        <v>0.0168887022949998</v>
      </c>
      <c r="AB22" s="18" t="n">
        <v>0.0235075027721223</v>
      </c>
      <c r="AC22" s="18" t="n">
        <v>0.031762267651385</v>
      </c>
      <c r="AD22" s="18" t="n">
        <v>0.0233228998340926</v>
      </c>
      <c r="AE22" s="18" t="n">
        <v>0.0299046803266927</v>
      </c>
      <c r="AF22" s="18" t="n">
        <v>0.0281869430353322</v>
      </c>
      <c r="AG22" s="18" t="n">
        <v>0.0198936660341199</v>
      </c>
      <c r="AH22" s="18" t="n">
        <v>0.0166031307743354</v>
      </c>
      <c r="AI22" s="18" t="n">
        <v>0.0299424989241078</v>
      </c>
      <c r="AJ22" s="18" t="n">
        <v>0.0183326454008147</v>
      </c>
      <c r="AK22" s="18" t="n">
        <v>0.0167008418777485</v>
      </c>
      <c r="AL22" s="18" t="n">
        <v>0.023439168798187</v>
      </c>
      <c r="AM22" s="18" t="n">
        <v>0.0117768091763484</v>
      </c>
      <c r="AN22" s="18" t="n">
        <v>0.028748668704113</v>
      </c>
      <c r="AO22" s="18"/>
      <c r="AP22" s="18" t="n">
        <v>0.0254265408165903</v>
      </c>
      <c r="AQ22" s="9"/>
      <c r="AR22" s="9"/>
    </row>
    <row r="23" customFormat="false" ht="20.7" hidden="false" customHeight="true" outlineLevel="0" collapsed="false">
      <c r="A23" s="5" t="s">
        <v>10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8" t="n">
        <v>0.0928361593828</v>
      </c>
      <c r="V23" s="18" t="n">
        <v>0.0940779924676281</v>
      </c>
      <c r="W23" s="18" t="n">
        <v>0.112401948537926</v>
      </c>
      <c r="X23" s="18" t="n">
        <v>0.101432638017757</v>
      </c>
      <c r="Y23" s="18" t="n">
        <v>0.126712631445412</v>
      </c>
      <c r="Z23" s="18" t="n">
        <v>0.136155735065924</v>
      </c>
      <c r="AA23" s="18" t="n">
        <v>0.136798488589499</v>
      </c>
      <c r="AB23" s="18" t="n">
        <v>0.120895728542343</v>
      </c>
      <c r="AC23" s="18" t="n">
        <v>0.137079260390188</v>
      </c>
      <c r="AD23" s="18" t="n">
        <v>0.131607791920951</v>
      </c>
      <c r="AE23" s="18" t="n">
        <v>0.116295979048249</v>
      </c>
      <c r="AF23" s="18" t="n">
        <v>0.126012215922662</v>
      </c>
      <c r="AG23" s="18" t="n">
        <v>0.142571273244526</v>
      </c>
      <c r="AH23" s="18" t="n">
        <v>0.122863167730082</v>
      </c>
      <c r="AI23" s="18" t="n">
        <v>0.109789162721729</v>
      </c>
      <c r="AJ23" s="18" t="n">
        <v>0.106662664150194</v>
      </c>
      <c r="AK23" s="18" t="n">
        <v>0.111895640580915</v>
      </c>
      <c r="AL23" s="18" t="n">
        <v>0.118870070333663</v>
      </c>
      <c r="AM23" s="18" t="n">
        <v>0.116085690452577</v>
      </c>
      <c r="AN23" s="18" t="n">
        <v>0.103156987702994</v>
      </c>
      <c r="AO23" s="19" t="n">
        <v>0.118763989231499</v>
      </c>
      <c r="AP23" s="18" t="n">
        <v>0.120352293198527</v>
      </c>
      <c r="AQ23" s="9"/>
      <c r="AR23" s="9"/>
    </row>
    <row r="24" customFormat="false" ht="20.7" hidden="false" customHeight="true" outlineLevel="0" collapsed="false">
      <c r="A24" s="5" t="s">
        <v>11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8" t="n">
        <v>0</v>
      </c>
      <c r="V24" s="18" t="n">
        <v>0</v>
      </c>
      <c r="W24" s="18" t="n">
        <v>0.02593891120106</v>
      </c>
      <c r="X24" s="18" t="n">
        <v>0.0412607341089182</v>
      </c>
      <c r="Y24" s="18" t="n">
        <v>0.027397325717927</v>
      </c>
      <c r="Z24" s="18" t="n">
        <v>0.0391447738314532</v>
      </c>
      <c r="AA24" s="18" t="n">
        <v>0.0489772366554996</v>
      </c>
      <c r="AB24" s="18" t="n">
        <v>0.0923509037476232</v>
      </c>
      <c r="AC24" s="18" t="n">
        <v>0.0919434063592724</v>
      </c>
      <c r="AD24" s="18" t="n">
        <v>0.113282656337021</v>
      </c>
      <c r="AE24" s="18" t="n">
        <v>0.0797458142045138</v>
      </c>
      <c r="AF24" s="18" t="n">
        <v>0.0862188845786632</v>
      </c>
      <c r="AG24" s="18" t="n">
        <v>0.0828902751421663</v>
      </c>
      <c r="AH24" s="18" t="n">
        <v>0.0896569061814112</v>
      </c>
      <c r="AI24" s="18" t="n">
        <v>0.0482406927110626</v>
      </c>
      <c r="AJ24" s="18" t="n">
        <v>0.0516647279477504</v>
      </c>
      <c r="AK24" s="18" t="n">
        <v>0.0417521046943712</v>
      </c>
      <c r="AL24" s="18" t="n">
        <v>0.0351587531972805</v>
      </c>
      <c r="AM24" s="18" t="n">
        <v>0.0555192432599281</v>
      </c>
      <c r="AN24" s="18" t="n">
        <v>0.057497337408226</v>
      </c>
      <c r="AO24" s="19" t="n">
        <v>0.0390224536046355</v>
      </c>
      <c r="AP24" s="18" t="n">
        <v>0.0745845197286649</v>
      </c>
      <c r="AQ24" s="9"/>
      <c r="AR24" s="9"/>
    </row>
    <row r="25" customFormat="false" ht="44.7" hidden="false" customHeight="true" outlineLevel="0" collapsed="false">
      <c r="A25" s="5" t="s">
        <v>12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8" t="n">
        <v>0.50621981248357</v>
      </c>
      <c r="V25" s="18" t="n">
        <v>0.519171143617651</v>
      </c>
      <c r="W25" s="18" t="n">
        <v>0.435773708177807</v>
      </c>
      <c r="X25" s="18" t="n">
        <v>0.364469817962111</v>
      </c>
      <c r="Y25" s="18" t="n">
        <v>0.356165234333051</v>
      </c>
      <c r="Z25" s="18" t="n">
        <v>0.398255525067828</v>
      </c>
      <c r="AA25" s="18" t="n">
        <v>0.358040488653997</v>
      </c>
      <c r="AB25" s="18" t="n">
        <v>0.327425931468846</v>
      </c>
      <c r="AC25" s="18" t="n">
        <v>0.2791736156727</v>
      </c>
      <c r="AD25" s="18" t="n">
        <v>0.268213348092064</v>
      </c>
      <c r="AE25" s="18" t="n">
        <v>0.244221556001324</v>
      </c>
      <c r="AF25" s="18" t="n">
        <v>0.215547211446658</v>
      </c>
      <c r="AG25" s="18" t="n">
        <v>0.203910076849729</v>
      </c>
      <c r="AH25" s="18" t="n">
        <v>0.225802578530962</v>
      </c>
      <c r="AI25" s="18" t="n">
        <v>0.196289715169151</v>
      </c>
      <c r="AJ25" s="18" t="n">
        <v>0.138328142569783</v>
      </c>
      <c r="AK25" s="18" t="n">
        <v>0.160328082026385</v>
      </c>
      <c r="AL25" s="18" t="n">
        <v>0.167422634272764</v>
      </c>
      <c r="AM25" s="18" t="n">
        <v>0.144686512737994</v>
      </c>
      <c r="AN25" s="18" t="n">
        <v>0.155581030634023</v>
      </c>
      <c r="AO25" s="19" t="n">
        <v>0.20868529536392</v>
      </c>
      <c r="AP25" s="18" t="n">
        <v>0.194936812927192</v>
      </c>
      <c r="AQ25" s="9"/>
      <c r="AR25" s="9"/>
    </row>
    <row r="26" customFormat="false" ht="32.7" hidden="false" customHeight="true" outlineLevel="0" collapsed="false">
      <c r="A26" s="5" t="s">
        <v>13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8" t="n">
        <v>0.381854391423592</v>
      </c>
      <c r="V26" s="18" t="n">
        <v>0.466905592246747</v>
      </c>
      <c r="W26" s="18" t="n">
        <v>0.48592226983319</v>
      </c>
      <c r="X26" s="18" t="n">
        <v>0.3954153685438</v>
      </c>
      <c r="Y26" s="18" t="n">
        <v>0.376713228621496</v>
      </c>
      <c r="Z26" s="18" t="n">
        <v>0.364216591301347</v>
      </c>
      <c r="AA26" s="18" t="n">
        <v>0.342840656588497</v>
      </c>
      <c r="AB26" s="18" t="n">
        <v>0.282090033265467</v>
      </c>
      <c r="AC26" s="18" t="n">
        <v>0.247411348021315</v>
      </c>
      <c r="AD26" s="18" t="n">
        <v>0.251554133924855</v>
      </c>
      <c r="AE26" s="18" t="n">
        <v>0.300708174396188</v>
      </c>
      <c r="AF26" s="18" t="n">
        <v>0.265288875626656</v>
      </c>
      <c r="AG26" s="18" t="n">
        <v>0.207225687855416</v>
      </c>
      <c r="AH26" s="18" t="n">
        <v>0.207539134679192</v>
      </c>
      <c r="AI26" s="18" t="n">
        <v>0.173001104894845</v>
      </c>
      <c r="AJ26" s="18" t="n">
        <v>0.194992682899574</v>
      </c>
      <c r="AK26" s="18" t="n">
        <v>0.131936650834213</v>
      </c>
      <c r="AL26" s="18" t="n">
        <v>0.0736659590800163</v>
      </c>
      <c r="AM26" s="18" t="n">
        <v>0.0437424340835797</v>
      </c>
      <c r="AN26" s="18" t="n">
        <v>0.0642617300444879</v>
      </c>
      <c r="AO26" s="19" t="n">
        <v>0.0627752514509354</v>
      </c>
      <c r="AP26" s="18" t="n">
        <v>0.0593285952387107</v>
      </c>
      <c r="AQ26" s="9"/>
      <c r="AR26" s="9"/>
    </row>
    <row r="27" customFormat="false" ht="20.7" hidden="false" customHeight="true" outlineLevel="0" collapsed="false">
      <c r="A27" s="5" t="s">
        <v>14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8" t="n">
        <v>1.12454366648599</v>
      </c>
      <c r="V27" s="18" t="n">
        <v>1.24740449271892</v>
      </c>
      <c r="W27" s="18" t="n">
        <v>1.22950439093024</v>
      </c>
      <c r="X27" s="18" t="n">
        <v>1.03151835272296</v>
      </c>
      <c r="Y27" s="18" t="n">
        <v>1.06164637156967</v>
      </c>
      <c r="Z27" s="18" t="n">
        <v>1.0756303070208</v>
      </c>
      <c r="AA27" s="18" t="n">
        <v>1.03527745068349</v>
      </c>
      <c r="AB27" s="18" t="n">
        <v>0.988994223770001</v>
      </c>
      <c r="AC27" s="18" t="n">
        <v>0.882656701049015</v>
      </c>
      <c r="AD27" s="18" t="n">
        <v>0.917922700613214</v>
      </c>
      <c r="AE27" s="18" t="n">
        <v>0.877203956249652</v>
      </c>
      <c r="AF27" s="18" t="n">
        <v>0.832343847278633</v>
      </c>
      <c r="AG27" s="18" t="n">
        <v>0.789115419353424</v>
      </c>
      <c r="AH27" s="18" t="n">
        <v>0.77868683331633</v>
      </c>
      <c r="AI27" s="18" t="n">
        <v>0.665388864980173</v>
      </c>
      <c r="AJ27" s="18" t="n">
        <v>0.594977673462803</v>
      </c>
      <c r="AK27" s="18" t="n">
        <v>0.576179044782322</v>
      </c>
      <c r="AL27" s="18" t="n">
        <v>0.527381297959208</v>
      </c>
      <c r="AM27" s="18" t="n">
        <v>0.481166774919377</v>
      </c>
      <c r="AN27" s="18" t="n">
        <v>0.512402742196838</v>
      </c>
      <c r="AO27" s="19" t="n">
        <v>0.546314350464897</v>
      </c>
      <c r="AP27" s="18" t="n">
        <v>0.566164308849411</v>
      </c>
      <c r="AQ27" s="9"/>
      <c r="AR27" s="9"/>
    </row>
    <row r="28" customFormat="false" ht="20.7" hidden="false" customHeight="true" outlineLevel="0" collapsed="false">
      <c r="A28" s="5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customFormat="false" ht="26.7" hidden="false" customHeight="true" outlineLevel="0" collapsed="false">
      <c r="A29" s="5" t="s">
        <v>17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5" t="s">
        <v>18</v>
      </c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9"/>
      <c r="AQ29" s="9"/>
      <c r="AR29" s="9"/>
    </row>
    <row r="30" customFormat="false" ht="56.7" hidden="false" customHeight="true" outlineLevel="0" collapsed="false">
      <c r="A30" s="5" t="s">
        <v>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21" t="n">
        <v>12.7725856697819</v>
      </c>
      <c r="V30" s="21" t="n">
        <v>13.4078212290503</v>
      </c>
      <c r="W30" s="21" t="n">
        <v>13.0801687763713</v>
      </c>
      <c r="X30" s="21" t="n">
        <v>11.8333333333333</v>
      </c>
      <c r="Y30" s="21" t="n">
        <v>16.2903225806452</v>
      </c>
      <c r="Z30" s="21" t="n">
        <v>12.1835443037975</v>
      </c>
      <c r="AA30" s="21" t="n">
        <v>12.7243066884176</v>
      </c>
      <c r="AB30" s="21" t="n">
        <v>14.4312393887946</v>
      </c>
      <c r="AC30" s="21" t="n">
        <v>10.7954545454545</v>
      </c>
      <c r="AD30" s="21" t="n">
        <v>14.1560798548094</v>
      </c>
      <c r="AE30" s="21" t="n">
        <v>12.1212121212121</v>
      </c>
      <c r="AF30" s="21" t="n">
        <v>13.3466135458167</v>
      </c>
      <c r="AG30" s="21" t="n">
        <v>16.8067226890756</v>
      </c>
      <c r="AH30" s="21" t="n">
        <v>14.9253731343284</v>
      </c>
      <c r="AI30" s="21" t="n">
        <v>16.25</v>
      </c>
      <c r="AJ30" s="21" t="n">
        <v>14.2857142857143</v>
      </c>
      <c r="AK30" s="21" t="n">
        <v>19.7101449275362</v>
      </c>
      <c r="AL30" s="21" t="n">
        <v>20.6349206349206</v>
      </c>
      <c r="AM30" s="21" t="n">
        <v>22.7272727272727</v>
      </c>
      <c r="AN30" s="21" t="n">
        <v>20.1320132013201</v>
      </c>
      <c r="AO30" s="22" t="n">
        <v>21.4285714285714</v>
      </c>
      <c r="AP30" s="21" t="n">
        <v>16.2</v>
      </c>
      <c r="AQ30" s="9"/>
      <c r="AR30" s="9"/>
    </row>
    <row r="31" customFormat="false" ht="56.7" hidden="false" customHeight="true" outlineLevel="0" collapsed="false">
      <c r="A31" s="5" t="s">
        <v>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23" t="s">
        <v>19</v>
      </c>
      <c r="V31" s="23" t="s">
        <v>19</v>
      </c>
      <c r="W31" s="21" t="n">
        <v>0.70323488045007</v>
      </c>
      <c r="X31" s="21" t="n">
        <v>0.666666666666667</v>
      </c>
      <c r="Y31" s="21" t="n">
        <v>0.161290322580645</v>
      </c>
      <c r="Z31" s="21" t="n">
        <v>0.632911392405063</v>
      </c>
      <c r="AA31" s="21" t="n">
        <v>1.63132137030995</v>
      </c>
      <c r="AB31" s="21" t="n">
        <v>2.37691001697793</v>
      </c>
      <c r="AC31" s="21" t="n">
        <v>3.59848484848485</v>
      </c>
      <c r="AD31" s="21" t="n">
        <v>2.54083484573503</v>
      </c>
      <c r="AE31" s="21" t="n">
        <v>3.40909090909091</v>
      </c>
      <c r="AF31" s="21" t="n">
        <v>3.38645418326693</v>
      </c>
      <c r="AG31" s="21" t="n">
        <v>2.52100840336134</v>
      </c>
      <c r="AH31" s="21" t="n">
        <v>2.13219616204691</v>
      </c>
      <c r="AI31" s="21" t="n">
        <v>4.5</v>
      </c>
      <c r="AJ31" s="21" t="n">
        <v>3.0812324929972</v>
      </c>
      <c r="AK31" s="21" t="n">
        <v>2.89855072463768</v>
      </c>
      <c r="AL31" s="21" t="n">
        <v>4.44444444444444</v>
      </c>
      <c r="AM31" s="21" t="n">
        <v>2.44755244755245</v>
      </c>
      <c r="AN31" s="21" t="n">
        <v>5.61056105610561</v>
      </c>
      <c r="AO31" s="22"/>
      <c r="AP31" s="21" t="n">
        <v>4.4</v>
      </c>
      <c r="AQ31" s="9"/>
      <c r="AR31" s="9"/>
    </row>
    <row r="32" customFormat="false" ht="20.7" hidden="false" customHeight="true" outlineLevel="0" collapsed="false">
      <c r="A32" s="5" t="s">
        <v>10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21" t="n">
        <v>8.25545171339564</v>
      </c>
      <c r="V32" s="21" t="n">
        <v>7.54189944134078</v>
      </c>
      <c r="W32" s="21" t="n">
        <v>9.14205344585091</v>
      </c>
      <c r="X32" s="21" t="n">
        <v>9.83333333333333</v>
      </c>
      <c r="Y32" s="21" t="n">
        <v>11.9354838709677</v>
      </c>
      <c r="Z32" s="21" t="n">
        <v>12.6582278481013</v>
      </c>
      <c r="AA32" s="21" t="n">
        <v>13.2137030995106</v>
      </c>
      <c r="AB32" s="21" t="n">
        <v>12.2241086587436</v>
      </c>
      <c r="AC32" s="21" t="n">
        <v>15.530303030303</v>
      </c>
      <c r="AD32" s="21" t="n">
        <v>14.3375680580762</v>
      </c>
      <c r="AE32" s="21" t="n">
        <v>13.2575757575758</v>
      </c>
      <c r="AF32" s="21" t="n">
        <v>15.1394422310757</v>
      </c>
      <c r="AG32" s="21" t="n">
        <v>18.0672268907563</v>
      </c>
      <c r="AH32" s="21" t="n">
        <v>15.7782515991471</v>
      </c>
      <c r="AI32" s="21" t="n">
        <v>16.5</v>
      </c>
      <c r="AJ32" s="21" t="n">
        <v>17.9271708683473</v>
      </c>
      <c r="AK32" s="21" t="n">
        <v>19.4202898550725</v>
      </c>
      <c r="AL32" s="21" t="n">
        <v>22.5396825396825</v>
      </c>
      <c r="AM32" s="21" t="n">
        <v>24.1258741258741</v>
      </c>
      <c r="AN32" s="21" t="n">
        <v>20.1320132013201</v>
      </c>
      <c r="AO32" s="22" t="n">
        <v>21.7391304347826</v>
      </c>
      <c r="AP32" s="21" t="n">
        <v>21.3</v>
      </c>
      <c r="AQ32" s="9"/>
      <c r="AR32" s="9"/>
    </row>
    <row r="33" customFormat="false" ht="20.7" hidden="false" customHeight="true" outlineLevel="0" collapsed="false">
      <c r="A33" s="5" t="s">
        <v>11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23" t="s">
        <v>19</v>
      </c>
      <c r="V33" s="23" t="s">
        <v>19</v>
      </c>
      <c r="W33" s="21" t="n">
        <v>2.10970464135021</v>
      </c>
      <c r="X33" s="21" t="n">
        <v>4</v>
      </c>
      <c r="Y33" s="21" t="n">
        <v>2.58064516129032</v>
      </c>
      <c r="Z33" s="21" t="n">
        <v>3.63924050632911</v>
      </c>
      <c r="AA33" s="21" t="n">
        <v>4.73083197389886</v>
      </c>
      <c r="AB33" s="21" t="n">
        <v>9.33786078098472</v>
      </c>
      <c r="AC33" s="21" t="n">
        <v>10.4166666666667</v>
      </c>
      <c r="AD33" s="21" t="n">
        <v>12.3411978221416</v>
      </c>
      <c r="AE33" s="21" t="n">
        <v>9.09090909090909</v>
      </c>
      <c r="AF33" s="21" t="n">
        <v>10.3585657370518</v>
      </c>
      <c r="AG33" s="21" t="n">
        <v>10.5042016806723</v>
      </c>
      <c r="AH33" s="21" t="n">
        <v>11.5138592750533</v>
      </c>
      <c r="AI33" s="21" t="n">
        <v>7.25</v>
      </c>
      <c r="AJ33" s="21" t="n">
        <v>8.68347338935574</v>
      </c>
      <c r="AK33" s="21" t="n">
        <v>7.2463768115942</v>
      </c>
      <c r="AL33" s="21" t="n">
        <v>6.66666666666667</v>
      </c>
      <c r="AM33" s="21" t="n">
        <v>11.5384615384615</v>
      </c>
      <c r="AN33" s="21" t="n">
        <v>11.2211221122112</v>
      </c>
      <c r="AO33" s="22" t="n">
        <v>7.14285714285714</v>
      </c>
      <c r="AP33" s="21" t="n">
        <v>13.2</v>
      </c>
      <c r="AQ33" s="9"/>
      <c r="AR33" s="9"/>
    </row>
    <row r="34" customFormat="false" ht="44.7" hidden="false" customHeight="true" outlineLevel="0" collapsed="false">
      <c r="A34" s="5" t="s">
        <v>12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21" t="n">
        <v>45.0155763239875</v>
      </c>
      <c r="V34" s="21" t="n">
        <v>41.6201117318436</v>
      </c>
      <c r="W34" s="21" t="n">
        <v>35.4430379746835</v>
      </c>
      <c r="X34" s="21" t="n">
        <v>35.3333333333333</v>
      </c>
      <c r="Y34" s="21" t="n">
        <v>33.5483870967742</v>
      </c>
      <c r="Z34" s="21" t="n">
        <v>37.0253164556962</v>
      </c>
      <c r="AA34" s="21" t="n">
        <v>34.584013050571</v>
      </c>
      <c r="AB34" s="21" t="n">
        <v>33.106960950764</v>
      </c>
      <c r="AC34" s="21" t="n">
        <v>31.6287878787879</v>
      </c>
      <c r="AD34" s="21" t="n">
        <v>29.2196007259528</v>
      </c>
      <c r="AE34" s="21" t="n">
        <v>27.8409090909091</v>
      </c>
      <c r="AF34" s="21" t="n">
        <v>25.8964143426295</v>
      </c>
      <c r="AG34" s="21" t="n">
        <v>25.8403361344538</v>
      </c>
      <c r="AH34" s="21" t="n">
        <v>28.997867803838</v>
      </c>
      <c r="AI34" s="21" t="n">
        <v>29.5</v>
      </c>
      <c r="AJ34" s="21" t="n">
        <v>23.249299719888</v>
      </c>
      <c r="AK34" s="21" t="n">
        <v>27.8260869565217</v>
      </c>
      <c r="AL34" s="21" t="n">
        <v>31.7460317460317</v>
      </c>
      <c r="AM34" s="21" t="n">
        <v>30.0699300699301</v>
      </c>
      <c r="AN34" s="21" t="n">
        <v>30.3630363036304</v>
      </c>
      <c r="AO34" s="22" t="n">
        <v>38.1987577639752</v>
      </c>
      <c r="AP34" s="21" t="n">
        <v>34.4</v>
      </c>
      <c r="AQ34" s="9"/>
      <c r="AR34" s="9"/>
    </row>
    <row r="35" customFormat="false" ht="32.7" hidden="false" customHeight="true" outlineLevel="0" collapsed="false">
      <c r="A35" s="5" t="s">
        <v>13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21" t="n">
        <v>33.9563862928349</v>
      </c>
      <c r="V35" s="21" t="n">
        <v>37.4301675977654</v>
      </c>
      <c r="W35" s="21" t="n">
        <v>39.521800281294</v>
      </c>
      <c r="X35" s="21" t="n">
        <v>38.3333333333333</v>
      </c>
      <c r="Y35" s="21" t="n">
        <v>35.4838709677419</v>
      </c>
      <c r="Z35" s="21" t="n">
        <v>33.8607594936709</v>
      </c>
      <c r="AA35" s="21" t="n">
        <v>33.115823817292</v>
      </c>
      <c r="AB35" s="21" t="n">
        <v>28.5229202037351</v>
      </c>
      <c r="AC35" s="21" t="n">
        <v>28.030303030303</v>
      </c>
      <c r="AD35" s="21" t="n">
        <v>27.4047186932849</v>
      </c>
      <c r="AE35" s="21" t="n">
        <v>34.280303030303</v>
      </c>
      <c r="AF35" s="21" t="n">
        <v>31.8725099601594</v>
      </c>
      <c r="AG35" s="21" t="n">
        <v>26.2605042016807</v>
      </c>
      <c r="AH35" s="21" t="n">
        <v>26.6524520255864</v>
      </c>
      <c r="AI35" s="21" t="n">
        <v>26</v>
      </c>
      <c r="AJ35" s="21" t="n">
        <v>32.7731092436975</v>
      </c>
      <c r="AK35" s="21" t="n">
        <v>22.8985507246377</v>
      </c>
      <c r="AL35" s="21" t="n">
        <v>13.968253968254</v>
      </c>
      <c r="AM35" s="21" t="n">
        <v>9.09090909090909</v>
      </c>
      <c r="AN35" s="21" t="n">
        <v>12.5412541254125</v>
      </c>
      <c r="AO35" s="22" t="n">
        <v>11.4906832298137</v>
      </c>
      <c r="AP35" s="21" t="n">
        <v>10.5</v>
      </c>
      <c r="AQ35" s="9"/>
      <c r="AR35" s="9"/>
    </row>
    <row r="36" customFormat="false" ht="20.7" hidden="false" customHeight="true" outlineLevel="0" collapsed="false">
      <c r="A36" s="5" t="s">
        <v>14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24" t="n">
        <v>100</v>
      </c>
      <c r="V36" s="24" t="n">
        <v>100</v>
      </c>
      <c r="W36" s="24" t="n">
        <v>100</v>
      </c>
      <c r="X36" s="24" t="n">
        <v>100</v>
      </c>
      <c r="Y36" s="24" t="n">
        <v>100</v>
      </c>
      <c r="Z36" s="24" t="n">
        <v>100</v>
      </c>
      <c r="AA36" s="24" t="n">
        <v>100</v>
      </c>
      <c r="AB36" s="24" t="n">
        <v>100</v>
      </c>
      <c r="AC36" s="24" t="n">
        <v>100</v>
      </c>
      <c r="AD36" s="24" t="n">
        <v>100</v>
      </c>
      <c r="AE36" s="24" t="n">
        <v>100</v>
      </c>
      <c r="AF36" s="24" t="n">
        <v>100</v>
      </c>
      <c r="AG36" s="24" t="n">
        <v>100</v>
      </c>
      <c r="AH36" s="24" t="n">
        <v>100</v>
      </c>
      <c r="AI36" s="24" t="n">
        <v>100</v>
      </c>
      <c r="AJ36" s="24" t="n">
        <v>100</v>
      </c>
      <c r="AK36" s="24" t="n">
        <v>100</v>
      </c>
      <c r="AL36" s="24" t="n">
        <v>100</v>
      </c>
      <c r="AM36" s="24" t="n">
        <v>100</v>
      </c>
      <c r="AN36" s="24" t="n">
        <v>100</v>
      </c>
      <c r="AO36" s="25" t="n">
        <v>100</v>
      </c>
      <c r="AP36" s="24" t="n">
        <v>100</v>
      </c>
      <c r="AQ36" s="9"/>
      <c r="AR36" s="9"/>
    </row>
  </sheetData>
  <mergeCells count="9">
    <mergeCell ref="A1:AR1"/>
    <mergeCell ref="U10:AO10"/>
    <mergeCell ref="AO12:AO13"/>
    <mergeCell ref="AQ12:AQ13"/>
    <mergeCell ref="AR12:AR13"/>
    <mergeCell ref="U20:AO20"/>
    <mergeCell ref="AO21:AO22"/>
    <mergeCell ref="U29:AO29"/>
    <mergeCell ref="AO30:AO31"/>
  </mergeCells>
  <printOptions headings="false" gridLines="false" gridLinesSet="true" horizontalCentered="false" verticalCentered="false"/>
  <pageMargins left="0.5" right="0.5" top="0.75" bottom="0.75" header="0.511811023622047" footer="0.277777777777778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73"/>
  <sheetViews>
    <sheetView showFormulas="false" showGridLines="false" showRowColHeaders="true" showZeros="true" rightToLeft="false" tabSelected="false" showOutlineSymbols="true" defaultGridColor="true" view="normal" topLeftCell="A1" colorId="64" zoomScale="32" zoomScaleNormal="32" zoomScalePageLayoutView="100" workbookViewId="0">
      <selection pane="topLeft" activeCell="A1" activeCellId="0" sqref="A1"/>
    </sheetView>
  </sheetViews>
  <sheetFormatPr defaultColWidth="16.35546875" defaultRowHeight="19.9" customHeight="true" zeroHeight="false" outlineLevelRow="0" outlineLevelCol="0"/>
  <cols>
    <col collapsed="false" customWidth="false" hidden="false" outlineLevel="0" max="16384" min="1" style="26" width="16.35"/>
  </cols>
  <sheetData>
    <row r="1" customFormat="false" ht="27.6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98.05" hidden="false" customHeight="true" outlineLevel="0" collapsed="false">
      <c r="A2" s="27" t="s">
        <v>20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customFormat="false" ht="20.05" hidden="false" customHeight="true" outlineLevel="0" collapsed="false">
      <c r="A3" s="28" t="s">
        <v>21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customFormat="false" ht="20.3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11.7" hidden="false" customHeight="true" outlineLevel="0" collapsed="false">
      <c r="A5" s="29" t="s">
        <v>22</v>
      </c>
      <c r="B5" s="15" t="s">
        <v>23</v>
      </c>
      <c r="C5" s="15"/>
      <c r="D5" s="15"/>
      <c r="E5" s="15"/>
      <c r="F5" s="15"/>
      <c r="G5" s="15"/>
      <c r="H5" s="30"/>
      <c r="I5" s="15" t="s">
        <v>24</v>
      </c>
      <c r="J5" s="15"/>
      <c r="K5" s="15"/>
      <c r="L5" s="15"/>
      <c r="M5" s="15"/>
      <c r="N5" s="15"/>
      <c r="O5" s="30"/>
      <c r="P5" s="15" t="s">
        <v>25</v>
      </c>
      <c r="Q5" s="15"/>
      <c r="R5" s="15"/>
      <c r="S5" s="15"/>
      <c r="T5" s="15"/>
      <c r="U5" s="15"/>
    </row>
    <row r="6" customFormat="false" ht="20.7" hidden="false" customHeight="true" outlineLevel="0" collapsed="false">
      <c r="A6" s="29"/>
      <c r="B6" s="31" t="s">
        <v>26</v>
      </c>
      <c r="C6" s="31" t="s">
        <v>27</v>
      </c>
      <c r="D6" s="31" t="s">
        <v>28</v>
      </c>
      <c r="E6" s="31" t="s">
        <v>12</v>
      </c>
      <c r="F6" s="31" t="s">
        <v>13</v>
      </c>
      <c r="G6" s="31" t="s">
        <v>14</v>
      </c>
      <c r="H6" s="31"/>
      <c r="I6" s="31" t="s">
        <v>26</v>
      </c>
      <c r="J6" s="31" t="s">
        <v>27</v>
      </c>
      <c r="K6" s="31" t="s">
        <v>28</v>
      </c>
      <c r="L6" s="31" t="s">
        <v>12</v>
      </c>
      <c r="M6" s="31" t="s">
        <v>13</v>
      </c>
      <c r="N6" s="31" t="s">
        <v>14</v>
      </c>
      <c r="O6" s="31"/>
      <c r="P6" s="31" t="s">
        <v>26</v>
      </c>
      <c r="Q6" s="31" t="s">
        <v>27</v>
      </c>
      <c r="R6" s="31" t="s">
        <v>28</v>
      </c>
      <c r="S6" s="31" t="s">
        <v>12</v>
      </c>
      <c r="T6" s="31" t="s">
        <v>13</v>
      </c>
      <c r="U6" s="31" t="s">
        <v>14</v>
      </c>
    </row>
    <row r="7" customFormat="false" ht="9.4" hidden="false" customHeight="true" outlineLevel="0" collapsed="false">
      <c r="A7" s="32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</row>
    <row r="8" customFormat="false" ht="15.1" hidden="false" customHeight="tru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</row>
    <row r="9" customFormat="false" ht="15.1" hidden="false" customHeight="true" outlineLevel="0" collapsed="false">
      <c r="A9" s="34"/>
      <c r="B9" s="35" t="s">
        <v>6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customFormat="false" ht="9.1" hidden="false" customHeight="true" outlineLevel="0" collapsed="false">
      <c r="A10" s="32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</row>
    <row r="11" customFormat="false" ht="15.1" hidden="false" customHeight="true" outlineLevel="0" collapsed="false">
      <c r="A11" s="36" t="s">
        <v>29</v>
      </c>
      <c r="B11" s="37" t="n">
        <v>0</v>
      </c>
      <c r="C11" s="37" t="n">
        <v>3</v>
      </c>
      <c r="D11" s="37" t="n">
        <v>3</v>
      </c>
      <c r="E11" s="37" t="n">
        <v>6</v>
      </c>
      <c r="F11" s="37" t="n">
        <v>2</v>
      </c>
      <c r="G11" s="37" t="n">
        <v>14</v>
      </c>
      <c r="H11" s="37"/>
      <c r="I11" s="37" t="n">
        <v>5</v>
      </c>
      <c r="J11" s="37" t="n">
        <v>3</v>
      </c>
      <c r="K11" s="37" t="n">
        <v>0</v>
      </c>
      <c r="L11" s="37" t="n">
        <v>0</v>
      </c>
      <c r="M11" s="37" t="n">
        <v>0</v>
      </c>
      <c r="N11" s="37" t="n">
        <v>8</v>
      </c>
      <c r="O11" s="37"/>
      <c r="P11" s="37" t="n">
        <v>5</v>
      </c>
      <c r="Q11" s="37" t="n">
        <v>6</v>
      </c>
      <c r="R11" s="37" t="n">
        <v>3</v>
      </c>
      <c r="S11" s="37" t="n">
        <v>6</v>
      </c>
      <c r="T11" s="37" t="n">
        <v>2</v>
      </c>
      <c r="U11" s="37" t="n">
        <v>22</v>
      </c>
    </row>
    <row r="12" customFormat="false" ht="16.1" hidden="false" customHeight="true" outlineLevel="0" collapsed="false">
      <c r="A12" s="38" t="s">
        <v>30</v>
      </c>
      <c r="B12" s="37" t="n">
        <v>0</v>
      </c>
      <c r="C12" s="37" t="n">
        <v>0</v>
      </c>
      <c r="D12" s="37" t="n">
        <v>0</v>
      </c>
      <c r="E12" s="37" t="n">
        <v>0</v>
      </c>
      <c r="F12" s="37" t="n">
        <v>0</v>
      </c>
      <c r="G12" s="37" t="n">
        <v>0</v>
      </c>
      <c r="H12" s="37"/>
      <c r="I12" s="37" t="n">
        <v>0</v>
      </c>
      <c r="J12" s="37" t="n">
        <v>0</v>
      </c>
      <c r="K12" s="37" t="n">
        <v>0</v>
      </c>
      <c r="L12" s="37" t="n">
        <v>0</v>
      </c>
      <c r="M12" s="37" t="n">
        <v>0</v>
      </c>
      <c r="N12" s="37" t="n">
        <v>0</v>
      </c>
      <c r="O12" s="37"/>
      <c r="P12" s="37" t="n">
        <v>0</v>
      </c>
      <c r="Q12" s="37" t="n">
        <v>0</v>
      </c>
      <c r="R12" s="37" t="n">
        <v>0</v>
      </c>
      <c r="S12" s="37" t="n">
        <v>0</v>
      </c>
      <c r="T12" s="37" t="n">
        <v>0</v>
      </c>
      <c r="U12" s="37" t="n">
        <v>0</v>
      </c>
    </row>
    <row r="13" customFormat="false" ht="15.1" hidden="false" customHeight="true" outlineLevel="0" collapsed="false">
      <c r="A13" s="36" t="s">
        <v>31</v>
      </c>
      <c r="B13" s="37" t="n">
        <v>0</v>
      </c>
      <c r="C13" s="37" t="n">
        <v>0</v>
      </c>
      <c r="D13" s="37" t="n">
        <v>4</v>
      </c>
      <c r="E13" s="37" t="n">
        <v>4</v>
      </c>
      <c r="F13" s="37" t="n">
        <v>0</v>
      </c>
      <c r="G13" s="37" t="n">
        <v>8</v>
      </c>
      <c r="H13" s="37"/>
      <c r="I13" s="37" t="n">
        <v>4</v>
      </c>
      <c r="J13" s="37" t="n">
        <v>0</v>
      </c>
      <c r="K13" s="37" t="n">
        <v>0</v>
      </c>
      <c r="L13" s="37" t="n">
        <v>0</v>
      </c>
      <c r="M13" s="37" t="n">
        <v>0</v>
      </c>
      <c r="N13" s="37" t="n">
        <v>4</v>
      </c>
      <c r="O13" s="37"/>
      <c r="P13" s="37" t="n">
        <v>4</v>
      </c>
      <c r="Q13" s="37" t="n">
        <v>0</v>
      </c>
      <c r="R13" s="37" t="n">
        <v>4</v>
      </c>
      <c r="S13" s="37" t="n">
        <v>4</v>
      </c>
      <c r="T13" s="37" t="n">
        <v>0</v>
      </c>
      <c r="U13" s="37" t="n">
        <v>12</v>
      </c>
    </row>
    <row r="14" customFormat="false" ht="15.1" hidden="false" customHeight="true" outlineLevel="0" collapsed="false">
      <c r="A14" s="36" t="s">
        <v>32</v>
      </c>
      <c r="B14" s="37" t="n">
        <v>2</v>
      </c>
      <c r="C14" s="37" t="n">
        <v>7</v>
      </c>
      <c r="D14" s="37" t="n">
        <v>3</v>
      </c>
      <c r="E14" s="37" t="n">
        <v>12</v>
      </c>
      <c r="F14" s="37" t="n">
        <v>4</v>
      </c>
      <c r="G14" s="37" t="n">
        <v>28</v>
      </c>
      <c r="H14" s="37"/>
      <c r="I14" s="37" t="n">
        <v>6</v>
      </c>
      <c r="J14" s="37" t="n">
        <v>4</v>
      </c>
      <c r="K14" s="37" t="n">
        <v>2</v>
      </c>
      <c r="L14" s="37" t="n">
        <v>1</v>
      </c>
      <c r="M14" s="37" t="n">
        <v>0</v>
      </c>
      <c r="N14" s="37" t="n">
        <v>13</v>
      </c>
      <c r="O14" s="37"/>
      <c r="P14" s="37" t="n">
        <v>8</v>
      </c>
      <c r="Q14" s="37" t="n">
        <v>11</v>
      </c>
      <c r="R14" s="37" t="n">
        <v>5</v>
      </c>
      <c r="S14" s="37" t="n">
        <v>13</v>
      </c>
      <c r="T14" s="37" t="n">
        <v>4</v>
      </c>
      <c r="U14" s="37" t="n">
        <v>41</v>
      </c>
    </row>
    <row r="15" customFormat="false" ht="15.1" hidden="false" customHeight="true" outlineLevel="0" collapsed="false">
      <c r="A15" s="39" t="s">
        <v>33</v>
      </c>
      <c r="B15" s="37" t="n">
        <v>0</v>
      </c>
      <c r="C15" s="37" t="n">
        <v>1</v>
      </c>
      <c r="D15" s="37" t="n">
        <v>0</v>
      </c>
      <c r="E15" s="37" t="n">
        <v>0</v>
      </c>
      <c r="F15" s="37" t="n">
        <v>0</v>
      </c>
      <c r="G15" s="37" t="n">
        <v>1</v>
      </c>
      <c r="H15" s="37"/>
      <c r="I15" s="37" t="n">
        <v>2</v>
      </c>
      <c r="J15" s="37" t="n">
        <v>0</v>
      </c>
      <c r="K15" s="37" t="n">
        <v>1</v>
      </c>
      <c r="L15" s="37" t="n">
        <v>1</v>
      </c>
      <c r="M15" s="37" t="n">
        <v>0</v>
      </c>
      <c r="N15" s="37" t="n">
        <v>4</v>
      </c>
      <c r="O15" s="37"/>
      <c r="P15" s="37" t="n">
        <v>2</v>
      </c>
      <c r="Q15" s="37" t="n">
        <v>1</v>
      </c>
      <c r="R15" s="37" t="n">
        <v>1</v>
      </c>
      <c r="S15" s="37" t="n">
        <v>1</v>
      </c>
      <c r="T15" s="37" t="n">
        <v>0</v>
      </c>
      <c r="U15" s="37" t="n">
        <v>5</v>
      </c>
    </row>
    <row r="16" customFormat="false" ht="15.1" hidden="false" customHeight="true" outlineLevel="0" collapsed="false">
      <c r="A16" s="40" t="s">
        <v>34</v>
      </c>
      <c r="B16" s="37" t="n">
        <v>0</v>
      </c>
      <c r="C16" s="37" t="n">
        <v>0</v>
      </c>
      <c r="D16" s="37" t="n">
        <v>0</v>
      </c>
      <c r="E16" s="37" t="n">
        <v>0</v>
      </c>
      <c r="F16" s="37" t="n">
        <v>0</v>
      </c>
      <c r="G16" s="37" t="n">
        <v>0</v>
      </c>
      <c r="H16" s="41"/>
      <c r="I16" s="41" t="n">
        <v>2</v>
      </c>
      <c r="J16" s="41" t="n">
        <v>0</v>
      </c>
      <c r="K16" s="41" t="n">
        <v>0</v>
      </c>
      <c r="L16" s="41" t="n">
        <v>0</v>
      </c>
      <c r="M16" s="41" t="n">
        <v>0</v>
      </c>
      <c r="N16" s="41" t="n">
        <v>2</v>
      </c>
      <c r="O16" s="41"/>
      <c r="P16" s="37" t="n">
        <v>2</v>
      </c>
      <c r="Q16" s="37" t="n">
        <v>0</v>
      </c>
      <c r="R16" s="37" t="n">
        <v>0</v>
      </c>
      <c r="S16" s="37" t="n">
        <v>0</v>
      </c>
      <c r="T16" s="37" t="n">
        <v>0</v>
      </c>
      <c r="U16" s="37" t="n">
        <v>2</v>
      </c>
    </row>
    <row r="17" customFormat="false" ht="15.1" hidden="false" customHeight="true" outlineLevel="0" collapsed="false">
      <c r="A17" s="40" t="s">
        <v>35</v>
      </c>
      <c r="B17" s="41" t="n">
        <v>0</v>
      </c>
      <c r="C17" s="41" t="n">
        <v>1</v>
      </c>
      <c r="D17" s="41" t="n">
        <v>0</v>
      </c>
      <c r="E17" s="41" t="n">
        <v>0</v>
      </c>
      <c r="F17" s="41" t="n">
        <v>0</v>
      </c>
      <c r="G17" s="37" t="n">
        <v>1</v>
      </c>
      <c r="H17" s="41"/>
      <c r="I17" s="41" t="n">
        <v>0</v>
      </c>
      <c r="J17" s="41" t="n">
        <v>0</v>
      </c>
      <c r="K17" s="41" t="n">
        <v>1</v>
      </c>
      <c r="L17" s="41" t="n">
        <v>1</v>
      </c>
      <c r="M17" s="41" t="n">
        <v>0</v>
      </c>
      <c r="N17" s="41" t="n">
        <v>2</v>
      </c>
      <c r="O17" s="41"/>
      <c r="P17" s="37" t="n">
        <v>0</v>
      </c>
      <c r="Q17" s="37" t="n">
        <v>1</v>
      </c>
      <c r="R17" s="37" t="n">
        <v>1</v>
      </c>
      <c r="S17" s="37" t="n">
        <v>1</v>
      </c>
      <c r="T17" s="37" t="n">
        <v>0</v>
      </c>
      <c r="U17" s="37" t="n">
        <v>3</v>
      </c>
    </row>
    <row r="18" customFormat="false" ht="15.1" hidden="false" customHeight="true" outlineLevel="0" collapsed="false">
      <c r="A18" s="36" t="s">
        <v>36</v>
      </c>
      <c r="B18" s="41" t="n">
        <v>1</v>
      </c>
      <c r="C18" s="41" t="n">
        <v>3</v>
      </c>
      <c r="D18" s="41" t="n">
        <v>1</v>
      </c>
      <c r="E18" s="41" t="n">
        <v>6</v>
      </c>
      <c r="F18" s="41" t="n">
        <v>1</v>
      </c>
      <c r="G18" s="37" t="n">
        <v>12</v>
      </c>
      <c r="H18" s="37"/>
      <c r="I18" s="37" t="n">
        <v>5</v>
      </c>
      <c r="J18" s="37" t="n">
        <v>2</v>
      </c>
      <c r="K18" s="37" t="n">
        <v>1</v>
      </c>
      <c r="L18" s="37" t="n">
        <v>0</v>
      </c>
      <c r="M18" s="37" t="n">
        <v>0</v>
      </c>
      <c r="N18" s="37" t="n">
        <v>8</v>
      </c>
      <c r="O18" s="37"/>
      <c r="P18" s="37" t="n">
        <v>6</v>
      </c>
      <c r="Q18" s="37" t="n">
        <v>5</v>
      </c>
      <c r="R18" s="37" t="n">
        <v>2</v>
      </c>
      <c r="S18" s="37" t="n">
        <v>6</v>
      </c>
      <c r="T18" s="37" t="n">
        <v>1</v>
      </c>
      <c r="U18" s="37" t="n">
        <v>20</v>
      </c>
    </row>
    <row r="19" customFormat="false" ht="15.1" hidden="false" customHeight="true" outlineLevel="0" collapsed="false">
      <c r="A19" s="36" t="s">
        <v>37</v>
      </c>
      <c r="B19" s="37" t="n">
        <v>0</v>
      </c>
      <c r="C19" s="37" t="n">
        <v>1</v>
      </c>
      <c r="D19" s="37" t="n">
        <v>0</v>
      </c>
      <c r="E19" s="37" t="n">
        <v>1</v>
      </c>
      <c r="F19" s="37" t="n">
        <v>0</v>
      </c>
      <c r="G19" s="37" t="n">
        <v>2</v>
      </c>
      <c r="H19" s="37"/>
      <c r="I19" s="37" t="n">
        <v>1</v>
      </c>
      <c r="J19" s="37" t="n">
        <v>0</v>
      </c>
      <c r="K19" s="37" t="n">
        <v>0</v>
      </c>
      <c r="L19" s="37" t="n">
        <v>0</v>
      </c>
      <c r="M19" s="37" t="n">
        <v>1</v>
      </c>
      <c r="N19" s="37" t="n">
        <v>2</v>
      </c>
      <c r="O19" s="37"/>
      <c r="P19" s="37" t="n">
        <v>1</v>
      </c>
      <c r="Q19" s="37" t="n">
        <v>1</v>
      </c>
      <c r="R19" s="37" t="n">
        <v>0</v>
      </c>
      <c r="S19" s="37" t="n">
        <v>1</v>
      </c>
      <c r="T19" s="37" t="n">
        <v>1</v>
      </c>
      <c r="U19" s="37" t="n">
        <v>4</v>
      </c>
    </row>
    <row r="20" customFormat="false" ht="20.05" hidden="false" customHeight="true" outlineLevel="0" collapsed="false">
      <c r="A20" s="42" t="s">
        <v>38</v>
      </c>
      <c r="B20" s="37" t="n">
        <v>1</v>
      </c>
      <c r="C20" s="37" t="n">
        <v>2</v>
      </c>
      <c r="D20" s="37" t="n">
        <v>3</v>
      </c>
      <c r="E20" s="37" t="n">
        <v>11</v>
      </c>
      <c r="F20" s="37" t="n">
        <v>0</v>
      </c>
      <c r="G20" s="37" t="n">
        <v>17</v>
      </c>
      <c r="H20" s="37"/>
      <c r="I20" s="37" t="n">
        <v>6</v>
      </c>
      <c r="J20" s="37" t="n">
        <v>2</v>
      </c>
      <c r="K20" s="37" t="n">
        <v>1</v>
      </c>
      <c r="L20" s="37" t="n">
        <v>0</v>
      </c>
      <c r="M20" s="37" t="n">
        <v>0</v>
      </c>
      <c r="N20" s="37" t="n">
        <v>9</v>
      </c>
      <c r="O20" s="37"/>
      <c r="P20" s="37" t="n">
        <v>7</v>
      </c>
      <c r="Q20" s="37" t="n">
        <v>4</v>
      </c>
      <c r="R20" s="37" t="n">
        <v>4</v>
      </c>
      <c r="S20" s="37" t="n">
        <v>11</v>
      </c>
      <c r="T20" s="37" t="n">
        <v>0</v>
      </c>
      <c r="U20" s="37" t="n">
        <v>26</v>
      </c>
    </row>
    <row r="21" customFormat="false" ht="20.05" hidden="false" customHeight="true" outlineLevel="0" collapsed="false">
      <c r="A21" s="42" t="s">
        <v>39</v>
      </c>
      <c r="B21" s="37" t="n">
        <v>0</v>
      </c>
      <c r="C21" s="37" t="n">
        <v>3</v>
      </c>
      <c r="D21" s="37" t="n">
        <v>2</v>
      </c>
      <c r="E21" s="37" t="n">
        <v>9</v>
      </c>
      <c r="F21" s="37" t="n">
        <v>0</v>
      </c>
      <c r="G21" s="37" t="n">
        <v>14</v>
      </c>
      <c r="H21" s="37"/>
      <c r="I21" s="37" t="n">
        <v>3</v>
      </c>
      <c r="J21" s="37" t="n">
        <v>3</v>
      </c>
      <c r="K21" s="37" t="n">
        <v>0</v>
      </c>
      <c r="L21" s="37" t="n">
        <v>2</v>
      </c>
      <c r="M21" s="37" t="n">
        <v>0</v>
      </c>
      <c r="N21" s="37" t="n">
        <v>8</v>
      </c>
      <c r="O21" s="37"/>
      <c r="P21" s="37" t="n">
        <v>3</v>
      </c>
      <c r="Q21" s="37" t="n">
        <v>6</v>
      </c>
      <c r="R21" s="37" t="n">
        <v>2</v>
      </c>
      <c r="S21" s="37" t="n">
        <v>11</v>
      </c>
      <c r="T21" s="37" t="n">
        <v>0</v>
      </c>
      <c r="U21" s="37" t="n">
        <v>22</v>
      </c>
    </row>
    <row r="22" customFormat="false" ht="20.05" hidden="false" customHeight="true" outlineLevel="0" collapsed="false">
      <c r="A22" s="42" t="s">
        <v>40</v>
      </c>
      <c r="B22" s="37" t="n">
        <v>0</v>
      </c>
      <c r="C22" s="37" t="n">
        <v>0</v>
      </c>
      <c r="D22" s="37" t="n">
        <v>0</v>
      </c>
      <c r="E22" s="37" t="n">
        <v>0</v>
      </c>
      <c r="F22" s="37" t="n">
        <v>0</v>
      </c>
      <c r="G22" s="37" t="n">
        <v>0</v>
      </c>
      <c r="H22" s="37"/>
      <c r="I22" s="37" t="n">
        <v>2</v>
      </c>
      <c r="J22" s="37" t="n">
        <v>0</v>
      </c>
      <c r="K22" s="37" t="n">
        <v>0</v>
      </c>
      <c r="L22" s="37" t="n">
        <v>0</v>
      </c>
      <c r="M22" s="37" t="n">
        <v>1</v>
      </c>
      <c r="N22" s="37" t="n">
        <v>3</v>
      </c>
      <c r="O22" s="37"/>
      <c r="P22" s="37" t="n">
        <v>2</v>
      </c>
      <c r="Q22" s="37" t="n">
        <v>0</v>
      </c>
      <c r="R22" s="37" t="n">
        <v>0</v>
      </c>
      <c r="S22" s="37" t="n">
        <v>0</v>
      </c>
      <c r="T22" s="37" t="n">
        <v>1</v>
      </c>
      <c r="U22" s="37" t="n">
        <v>3</v>
      </c>
    </row>
    <row r="23" customFormat="false" ht="20.05" hidden="false" customHeight="true" outlineLevel="0" collapsed="false">
      <c r="A23" s="42" t="s">
        <v>41</v>
      </c>
      <c r="B23" s="37" t="n">
        <v>1</v>
      </c>
      <c r="C23" s="37" t="n">
        <v>0</v>
      </c>
      <c r="D23" s="37" t="n">
        <v>1</v>
      </c>
      <c r="E23" s="37" t="n">
        <v>1</v>
      </c>
      <c r="F23" s="37" t="n">
        <v>0</v>
      </c>
      <c r="G23" s="37" t="n">
        <v>3</v>
      </c>
      <c r="H23" s="37"/>
      <c r="I23" s="37" t="n">
        <v>4</v>
      </c>
      <c r="J23" s="37" t="n">
        <v>1</v>
      </c>
      <c r="K23" s="37" t="n">
        <v>0</v>
      </c>
      <c r="L23" s="37" t="n">
        <v>0</v>
      </c>
      <c r="M23" s="37" t="n">
        <v>0</v>
      </c>
      <c r="N23" s="37" t="n">
        <v>5</v>
      </c>
      <c r="O23" s="37"/>
      <c r="P23" s="37" t="n">
        <v>5</v>
      </c>
      <c r="Q23" s="37" t="n">
        <v>1</v>
      </c>
      <c r="R23" s="37" t="n">
        <v>1</v>
      </c>
      <c r="S23" s="37" t="n">
        <v>1</v>
      </c>
      <c r="T23" s="37" t="n">
        <v>0</v>
      </c>
      <c r="U23" s="37" t="n">
        <v>8</v>
      </c>
    </row>
    <row r="24" customFormat="false" ht="20.05" hidden="false" customHeight="true" outlineLevel="0" collapsed="false">
      <c r="A24" s="42" t="s">
        <v>42</v>
      </c>
      <c r="B24" s="37" t="n">
        <v>0</v>
      </c>
      <c r="C24" s="37" t="n">
        <v>0</v>
      </c>
      <c r="D24" s="37" t="n">
        <v>8</v>
      </c>
      <c r="E24" s="37" t="n">
        <v>14</v>
      </c>
      <c r="F24" s="37" t="n">
        <v>3</v>
      </c>
      <c r="G24" s="37" t="n">
        <v>25</v>
      </c>
      <c r="H24" s="37"/>
      <c r="I24" s="37" t="n">
        <v>4</v>
      </c>
      <c r="J24" s="37" t="n">
        <v>2</v>
      </c>
      <c r="K24" s="37" t="n">
        <v>1</v>
      </c>
      <c r="L24" s="37" t="n">
        <v>3</v>
      </c>
      <c r="M24" s="37" t="n">
        <v>0</v>
      </c>
      <c r="N24" s="37" t="n">
        <v>10</v>
      </c>
      <c r="O24" s="37"/>
      <c r="P24" s="37" t="n">
        <v>4</v>
      </c>
      <c r="Q24" s="37" t="n">
        <v>2</v>
      </c>
      <c r="R24" s="37" t="n">
        <v>9</v>
      </c>
      <c r="S24" s="37" t="n">
        <v>17</v>
      </c>
      <c r="T24" s="37" t="n">
        <v>3</v>
      </c>
      <c r="U24" s="37" t="n">
        <v>35</v>
      </c>
    </row>
    <row r="25" customFormat="false" ht="20.05" hidden="false" customHeight="true" outlineLevel="0" collapsed="false">
      <c r="A25" s="42" t="s">
        <v>43</v>
      </c>
      <c r="B25" s="37" t="n">
        <v>0</v>
      </c>
      <c r="C25" s="37" t="n">
        <v>3</v>
      </c>
      <c r="D25" s="37" t="n">
        <v>0</v>
      </c>
      <c r="E25" s="37" t="n">
        <v>0</v>
      </c>
      <c r="F25" s="37" t="n">
        <v>0</v>
      </c>
      <c r="G25" s="37" t="n">
        <v>3</v>
      </c>
      <c r="H25" s="37"/>
      <c r="I25" s="37" t="n">
        <v>3</v>
      </c>
      <c r="J25" s="37" t="n">
        <v>2</v>
      </c>
      <c r="K25" s="37" t="n">
        <v>0</v>
      </c>
      <c r="L25" s="37" t="n">
        <v>1</v>
      </c>
      <c r="M25" s="37" t="n">
        <v>0</v>
      </c>
      <c r="N25" s="37" t="n">
        <v>6</v>
      </c>
      <c r="O25" s="37"/>
      <c r="P25" s="37" t="n">
        <v>3</v>
      </c>
      <c r="Q25" s="37" t="n">
        <v>5</v>
      </c>
      <c r="R25" s="37" t="n">
        <v>0</v>
      </c>
      <c r="S25" s="37" t="n">
        <v>1</v>
      </c>
      <c r="T25" s="37" t="n">
        <v>0</v>
      </c>
      <c r="U25" s="37" t="n">
        <v>9</v>
      </c>
    </row>
    <row r="26" customFormat="false" ht="20.05" hidden="false" customHeight="true" outlineLevel="0" collapsed="false">
      <c r="A26" s="42" t="s">
        <v>44</v>
      </c>
      <c r="B26" s="37" t="n">
        <v>0</v>
      </c>
      <c r="C26" s="37" t="n">
        <v>0</v>
      </c>
      <c r="D26" s="37" t="n">
        <v>0</v>
      </c>
      <c r="E26" s="37" t="n">
        <v>0</v>
      </c>
      <c r="F26" s="37" t="n">
        <v>0</v>
      </c>
      <c r="G26" s="37" t="n">
        <v>0</v>
      </c>
      <c r="H26" s="37"/>
      <c r="I26" s="37" t="n">
        <v>0</v>
      </c>
      <c r="J26" s="37" t="n">
        <v>0</v>
      </c>
      <c r="K26" s="37" t="n">
        <v>0</v>
      </c>
      <c r="L26" s="37" t="n">
        <v>0</v>
      </c>
      <c r="M26" s="37" t="n">
        <v>0</v>
      </c>
      <c r="N26" s="37" t="n">
        <v>0</v>
      </c>
      <c r="O26" s="37"/>
      <c r="P26" s="37" t="n">
        <v>0</v>
      </c>
      <c r="Q26" s="37" t="n">
        <v>0</v>
      </c>
      <c r="R26" s="37" t="n">
        <v>0</v>
      </c>
      <c r="S26" s="37" t="n">
        <v>0</v>
      </c>
      <c r="T26" s="37" t="n">
        <v>0</v>
      </c>
      <c r="U26" s="37" t="n">
        <v>0</v>
      </c>
    </row>
    <row r="27" customFormat="false" ht="20.05" hidden="false" customHeight="true" outlineLevel="0" collapsed="false">
      <c r="A27" s="42" t="s">
        <v>45</v>
      </c>
      <c r="B27" s="37" t="n">
        <v>0</v>
      </c>
      <c r="C27" s="37" t="n">
        <v>5</v>
      </c>
      <c r="D27" s="37" t="n">
        <v>3</v>
      </c>
      <c r="E27" s="37" t="n">
        <v>13</v>
      </c>
      <c r="F27" s="37" t="n">
        <v>9</v>
      </c>
      <c r="G27" s="37" t="n">
        <v>30</v>
      </c>
      <c r="H27" s="37"/>
      <c r="I27" s="37" t="n">
        <v>5</v>
      </c>
      <c r="J27" s="37" t="n">
        <v>3</v>
      </c>
      <c r="K27" s="37" t="n">
        <v>2</v>
      </c>
      <c r="L27" s="37" t="n">
        <v>0</v>
      </c>
      <c r="M27" s="37" t="n">
        <v>1</v>
      </c>
      <c r="N27" s="37" t="n">
        <v>11</v>
      </c>
      <c r="O27" s="37"/>
      <c r="P27" s="37" t="n">
        <v>5</v>
      </c>
      <c r="Q27" s="37" t="n">
        <v>8</v>
      </c>
      <c r="R27" s="37" t="n">
        <v>5</v>
      </c>
      <c r="S27" s="37" t="n">
        <v>13</v>
      </c>
      <c r="T27" s="37" t="n">
        <v>10</v>
      </c>
      <c r="U27" s="37" t="n">
        <v>41</v>
      </c>
    </row>
    <row r="28" customFormat="false" ht="20.05" hidden="false" customHeight="true" outlineLevel="0" collapsed="false">
      <c r="A28" s="42" t="s">
        <v>46</v>
      </c>
      <c r="B28" s="37" t="n">
        <v>0</v>
      </c>
      <c r="C28" s="37" t="n">
        <v>6</v>
      </c>
      <c r="D28" s="37" t="n">
        <v>1</v>
      </c>
      <c r="E28" s="37" t="n">
        <v>8</v>
      </c>
      <c r="F28" s="37" t="n">
        <v>4</v>
      </c>
      <c r="G28" s="37" t="n">
        <v>19</v>
      </c>
      <c r="H28" s="37"/>
      <c r="I28" s="9" t="n">
        <v>3</v>
      </c>
      <c r="J28" s="9" t="n">
        <v>5</v>
      </c>
      <c r="K28" s="9" t="n">
        <v>0</v>
      </c>
      <c r="L28" s="9" t="n">
        <v>1</v>
      </c>
      <c r="M28" s="9" t="n">
        <v>0</v>
      </c>
      <c r="N28" s="9" t="n">
        <v>9</v>
      </c>
      <c r="O28" s="37"/>
      <c r="P28" s="37" t="n">
        <v>3</v>
      </c>
      <c r="Q28" s="37" t="n">
        <v>11</v>
      </c>
      <c r="R28" s="37" t="n">
        <v>1</v>
      </c>
      <c r="S28" s="37" t="n">
        <v>9</v>
      </c>
      <c r="T28" s="37" t="n">
        <v>4</v>
      </c>
      <c r="U28" s="37" t="n">
        <v>28</v>
      </c>
    </row>
    <row r="29" customFormat="false" ht="20.05" hidden="false" customHeight="true" outlineLevel="0" collapsed="false">
      <c r="A29" s="42" t="s">
        <v>47</v>
      </c>
      <c r="B29" s="37" t="n">
        <v>0</v>
      </c>
      <c r="C29" s="37" t="n">
        <v>0</v>
      </c>
      <c r="D29" s="37" t="n">
        <v>1</v>
      </c>
      <c r="E29" s="37" t="n">
        <v>1</v>
      </c>
      <c r="F29" s="37" t="n">
        <v>0</v>
      </c>
      <c r="G29" s="37" t="n">
        <v>2</v>
      </c>
      <c r="H29" s="37"/>
      <c r="I29" s="37" t="n">
        <v>0</v>
      </c>
      <c r="J29" s="37" t="n">
        <v>0</v>
      </c>
      <c r="K29" s="37" t="n">
        <v>0</v>
      </c>
      <c r="L29" s="37" t="n">
        <v>0</v>
      </c>
      <c r="M29" s="37" t="n">
        <v>0</v>
      </c>
      <c r="N29" s="37" t="n">
        <v>0</v>
      </c>
      <c r="O29" s="37"/>
      <c r="P29" s="37" t="n">
        <v>0</v>
      </c>
      <c r="Q29" s="37" t="n">
        <v>0</v>
      </c>
      <c r="R29" s="37" t="n">
        <v>1</v>
      </c>
      <c r="S29" s="37" t="n">
        <v>1</v>
      </c>
      <c r="T29" s="37" t="n">
        <v>0</v>
      </c>
      <c r="U29" s="37" t="n">
        <v>2</v>
      </c>
    </row>
    <row r="30" customFormat="false" ht="20.05" hidden="false" customHeight="true" outlineLevel="0" collapsed="false">
      <c r="A30" s="42" t="s">
        <v>48</v>
      </c>
      <c r="B30" s="37" t="n">
        <v>0</v>
      </c>
      <c r="C30" s="37" t="n">
        <v>2</v>
      </c>
      <c r="D30" s="37" t="n">
        <v>1</v>
      </c>
      <c r="E30" s="37" t="n">
        <v>5</v>
      </c>
      <c r="F30" s="37" t="n">
        <v>2</v>
      </c>
      <c r="G30" s="37" t="n">
        <v>10</v>
      </c>
      <c r="H30" s="37"/>
      <c r="I30" s="37" t="n">
        <v>1</v>
      </c>
      <c r="J30" s="37" t="n">
        <v>0</v>
      </c>
      <c r="K30" s="37" t="n">
        <v>0</v>
      </c>
      <c r="L30" s="37" t="n">
        <v>0</v>
      </c>
      <c r="M30" s="37" t="n">
        <v>2</v>
      </c>
      <c r="N30" s="37" t="n">
        <v>3</v>
      </c>
      <c r="O30" s="37"/>
      <c r="P30" s="37" t="n">
        <v>1</v>
      </c>
      <c r="Q30" s="37" t="n">
        <v>2</v>
      </c>
      <c r="R30" s="37" t="n">
        <v>1</v>
      </c>
      <c r="S30" s="37" t="n">
        <v>5</v>
      </c>
      <c r="T30" s="37" t="n">
        <v>4</v>
      </c>
      <c r="U30" s="37" t="n">
        <v>13</v>
      </c>
    </row>
    <row r="31" customFormat="false" ht="20.05" hidden="false" customHeight="true" outlineLevel="0" collapsed="false">
      <c r="A31" s="42" t="s">
        <v>49</v>
      </c>
      <c r="B31" s="37" t="n">
        <v>0</v>
      </c>
      <c r="C31" s="37" t="n">
        <v>1</v>
      </c>
      <c r="D31" s="37" t="n">
        <v>3</v>
      </c>
      <c r="E31" s="37" t="n">
        <v>10</v>
      </c>
      <c r="F31" s="37" t="n">
        <v>1</v>
      </c>
      <c r="G31" s="37" t="n">
        <v>15</v>
      </c>
      <c r="H31" s="37"/>
      <c r="I31" s="37" t="n">
        <v>8</v>
      </c>
      <c r="J31" s="37" t="n">
        <v>3</v>
      </c>
      <c r="K31" s="37" t="n">
        <v>1</v>
      </c>
      <c r="L31" s="37" t="n">
        <v>0</v>
      </c>
      <c r="M31" s="37" t="n">
        <v>0</v>
      </c>
      <c r="N31" s="37" t="n">
        <v>12</v>
      </c>
      <c r="O31" s="37"/>
      <c r="P31" s="37" t="n">
        <v>8</v>
      </c>
      <c r="Q31" s="37" t="n">
        <v>4</v>
      </c>
      <c r="R31" s="37" t="n">
        <v>4</v>
      </c>
      <c r="S31" s="37" t="n">
        <v>10</v>
      </c>
      <c r="T31" s="37" t="n">
        <v>1</v>
      </c>
      <c r="U31" s="37" t="n">
        <v>27</v>
      </c>
    </row>
    <row r="32" customFormat="false" ht="20.05" hidden="false" customHeight="true" outlineLevel="0" collapsed="false">
      <c r="A32" s="42" t="s">
        <v>50</v>
      </c>
      <c r="B32" s="37" t="n">
        <v>1</v>
      </c>
      <c r="C32" s="37" t="n">
        <v>3</v>
      </c>
      <c r="D32" s="37" t="n">
        <v>1</v>
      </c>
      <c r="E32" s="37" t="n">
        <v>5</v>
      </c>
      <c r="F32" s="37" t="n">
        <v>4</v>
      </c>
      <c r="G32" s="37" t="n">
        <v>14</v>
      </c>
      <c r="H32" s="37"/>
      <c r="I32" s="37" t="n">
        <v>1</v>
      </c>
      <c r="J32" s="37" t="n">
        <v>1</v>
      </c>
      <c r="K32" s="37" t="n">
        <v>0</v>
      </c>
      <c r="L32" s="37" t="n">
        <v>0</v>
      </c>
      <c r="M32" s="37" t="n">
        <v>0</v>
      </c>
      <c r="N32" s="37" t="n">
        <v>2</v>
      </c>
      <c r="O32" s="37"/>
      <c r="P32" s="37" t="n">
        <v>2</v>
      </c>
      <c r="Q32" s="37" t="n">
        <v>4</v>
      </c>
      <c r="R32" s="37" t="n">
        <v>1</v>
      </c>
      <c r="S32" s="37" t="n">
        <v>5</v>
      </c>
      <c r="T32" s="37" t="n">
        <v>4</v>
      </c>
      <c r="U32" s="37" t="n">
        <v>16</v>
      </c>
    </row>
    <row r="33" customFormat="false" ht="15.1" hidden="false" customHeight="true" outlineLevel="0" collapsed="false">
      <c r="A33" s="43" t="s">
        <v>51</v>
      </c>
      <c r="B33" s="44" t="n">
        <v>4</v>
      </c>
      <c r="C33" s="44" t="n">
        <v>17</v>
      </c>
      <c r="D33" s="44" t="n">
        <v>14</v>
      </c>
      <c r="E33" s="44" t="n">
        <v>40</v>
      </c>
      <c r="F33" s="44" t="n">
        <v>7</v>
      </c>
      <c r="G33" s="44" t="n">
        <v>82</v>
      </c>
      <c r="H33" s="44"/>
      <c r="I33" s="44" t="n">
        <v>29</v>
      </c>
      <c r="J33" s="44" t="n">
        <v>11</v>
      </c>
      <c r="K33" s="44" t="n">
        <v>5</v>
      </c>
      <c r="L33" s="44" t="n">
        <v>2</v>
      </c>
      <c r="M33" s="44" t="n">
        <v>1</v>
      </c>
      <c r="N33" s="44" t="n">
        <v>48</v>
      </c>
      <c r="O33" s="44"/>
      <c r="P33" s="44" t="n">
        <v>33</v>
      </c>
      <c r="Q33" s="44" t="n">
        <v>28</v>
      </c>
      <c r="R33" s="44" t="n">
        <v>19</v>
      </c>
      <c r="S33" s="44" t="n">
        <v>42</v>
      </c>
      <c r="T33" s="44" t="n">
        <v>8</v>
      </c>
      <c r="U33" s="44" t="n">
        <v>130</v>
      </c>
    </row>
    <row r="34" customFormat="false" ht="15.1" hidden="false" customHeight="true" outlineLevel="0" collapsed="false">
      <c r="A34" s="43" t="s">
        <v>52</v>
      </c>
      <c r="B34" s="44" t="n">
        <v>2</v>
      </c>
      <c r="C34" s="44" t="n">
        <v>10</v>
      </c>
      <c r="D34" s="44" t="n">
        <v>10</v>
      </c>
      <c r="E34" s="44" t="n">
        <v>22</v>
      </c>
      <c r="F34" s="44" t="n">
        <v>6</v>
      </c>
      <c r="G34" s="44" t="n">
        <v>50</v>
      </c>
      <c r="H34" s="44"/>
      <c r="I34" s="44" t="n">
        <v>15</v>
      </c>
      <c r="J34" s="44" t="n">
        <v>7</v>
      </c>
      <c r="K34" s="44" t="n">
        <v>2</v>
      </c>
      <c r="L34" s="44" t="n">
        <v>1</v>
      </c>
      <c r="M34" s="44" t="n">
        <v>0</v>
      </c>
      <c r="N34" s="44" t="n">
        <v>25</v>
      </c>
      <c r="O34" s="44"/>
      <c r="P34" s="44" t="n">
        <v>17</v>
      </c>
      <c r="Q34" s="44" t="n">
        <v>17</v>
      </c>
      <c r="R34" s="44" t="n">
        <v>12</v>
      </c>
      <c r="S34" s="44" t="n">
        <v>23</v>
      </c>
      <c r="T34" s="44" t="n">
        <v>6</v>
      </c>
      <c r="U34" s="44" t="n">
        <v>75</v>
      </c>
    </row>
    <row r="35" customFormat="false" ht="15.1" hidden="false" customHeight="true" outlineLevel="0" collapsed="false">
      <c r="A35" s="43" t="s">
        <v>53</v>
      </c>
      <c r="B35" s="44" t="n">
        <v>2</v>
      </c>
      <c r="C35" s="44" t="n">
        <v>7</v>
      </c>
      <c r="D35" s="44" t="n">
        <v>4</v>
      </c>
      <c r="E35" s="44" t="n">
        <v>18</v>
      </c>
      <c r="F35" s="44" t="n">
        <v>1</v>
      </c>
      <c r="G35" s="44" t="n">
        <v>32</v>
      </c>
      <c r="H35" s="44"/>
      <c r="I35" s="44" t="n">
        <v>14</v>
      </c>
      <c r="J35" s="44" t="n">
        <v>4</v>
      </c>
      <c r="K35" s="44" t="n">
        <v>3</v>
      </c>
      <c r="L35" s="44" t="n">
        <v>1</v>
      </c>
      <c r="M35" s="44" t="n">
        <v>1</v>
      </c>
      <c r="N35" s="44" t="n">
        <v>23</v>
      </c>
      <c r="O35" s="44"/>
      <c r="P35" s="44" t="n">
        <v>16</v>
      </c>
      <c r="Q35" s="44" t="n">
        <v>11</v>
      </c>
      <c r="R35" s="44" t="n">
        <v>7</v>
      </c>
      <c r="S35" s="44" t="n">
        <v>19</v>
      </c>
      <c r="T35" s="44" t="n">
        <v>2</v>
      </c>
      <c r="U35" s="44" t="n">
        <v>55</v>
      </c>
    </row>
    <row r="36" customFormat="false" ht="15.1" hidden="false" customHeight="true" outlineLevel="0" collapsed="false">
      <c r="A36" s="45" t="s">
        <v>54</v>
      </c>
      <c r="B36" s="44" t="n">
        <v>1</v>
      </c>
      <c r="C36" s="44" t="n">
        <v>3</v>
      </c>
      <c r="D36" s="44" t="n">
        <v>11</v>
      </c>
      <c r="E36" s="44" t="n">
        <v>24</v>
      </c>
      <c r="F36" s="44" t="n">
        <v>3</v>
      </c>
      <c r="G36" s="44" t="n">
        <v>42</v>
      </c>
      <c r="H36" s="44"/>
      <c r="I36" s="44" t="n">
        <v>13</v>
      </c>
      <c r="J36" s="44" t="n">
        <v>6</v>
      </c>
      <c r="K36" s="44" t="n">
        <v>1</v>
      </c>
      <c r="L36" s="44" t="n">
        <v>5</v>
      </c>
      <c r="M36" s="44" t="n">
        <v>1</v>
      </c>
      <c r="N36" s="44" t="n">
        <v>26</v>
      </c>
      <c r="O36" s="44"/>
      <c r="P36" s="44" t="n">
        <v>14</v>
      </c>
      <c r="Q36" s="44" t="n">
        <v>9</v>
      </c>
      <c r="R36" s="44" t="n">
        <v>12</v>
      </c>
      <c r="S36" s="44" t="n">
        <v>29</v>
      </c>
      <c r="T36" s="44" t="n">
        <v>4</v>
      </c>
      <c r="U36" s="44" t="n">
        <v>68</v>
      </c>
    </row>
    <row r="37" customFormat="false" ht="15.1" hidden="false" customHeight="true" outlineLevel="0" collapsed="false">
      <c r="A37" s="45" t="s">
        <v>55</v>
      </c>
      <c r="B37" s="44" t="n">
        <v>1</v>
      </c>
      <c r="C37" s="44" t="n">
        <v>20</v>
      </c>
      <c r="D37" s="44" t="n">
        <v>10</v>
      </c>
      <c r="E37" s="44" t="n">
        <v>42</v>
      </c>
      <c r="F37" s="44" t="n">
        <v>20</v>
      </c>
      <c r="G37" s="44" t="n">
        <v>93</v>
      </c>
      <c r="H37" s="44"/>
      <c r="I37" s="44" t="n">
        <v>21</v>
      </c>
      <c r="J37" s="44" t="n">
        <v>14</v>
      </c>
      <c r="K37" s="44" t="n">
        <v>3</v>
      </c>
      <c r="L37" s="44" t="n">
        <v>2</v>
      </c>
      <c r="M37" s="44" t="n">
        <v>3</v>
      </c>
      <c r="N37" s="44" t="n">
        <v>43</v>
      </c>
      <c r="O37" s="44"/>
      <c r="P37" s="44" t="n">
        <v>22</v>
      </c>
      <c r="Q37" s="44" t="n">
        <v>34</v>
      </c>
      <c r="R37" s="44" t="n">
        <v>13</v>
      </c>
      <c r="S37" s="44" t="n">
        <v>44</v>
      </c>
      <c r="T37" s="44" t="n">
        <v>23</v>
      </c>
      <c r="U37" s="44" t="n">
        <v>136</v>
      </c>
    </row>
    <row r="38" customFormat="false" ht="15.1" hidden="false" customHeight="true" outlineLevel="0" collapsed="false">
      <c r="A38" s="43" t="s">
        <v>56</v>
      </c>
      <c r="B38" s="44" t="n">
        <v>0</v>
      </c>
      <c r="C38" s="44" t="n">
        <v>16</v>
      </c>
      <c r="D38" s="44" t="n">
        <v>6</v>
      </c>
      <c r="E38" s="44" t="n">
        <v>27</v>
      </c>
      <c r="F38" s="44" t="n">
        <v>15</v>
      </c>
      <c r="G38" s="44" t="n">
        <v>64</v>
      </c>
      <c r="H38" s="44"/>
      <c r="I38" s="44" t="n">
        <v>12</v>
      </c>
      <c r="J38" s="44" t="n">
        <v>10</v>
      </c>
      <c r="K38" s="44" t="n">
        <v>2</v>
      </c>
      <c r="L38" s="44" t="n">
        <v>2</v>
      </c>
      <c r="M38" s="44" t="n">
        <v>3</v>
      </c>
      <c r="N38" s="44" t="n">
        <v>29</v>
      </c>
      <c r="O38" s="44"/>
      <c r="P38" s="44" t="n">
        <v>12</v>
      </c>
      <c r="Q38" s="44" t="n">
        <v>26</v>
      </c>
      <c r="R38" s="44" t="n">
        <v>8</v>
      </c>
      <c r="S38" s="44" t="n">
        <v>29</v>
      </c>
      <c r="T38" s="44" t="n">
        <v>18</v>
      </c>
      <c r="U38" s="44" t="n">
        <v>93</v>
      </c>
    </row>
    <row r="39" customFormat="false" ht="15.1" hidden="false" customHeight="true" outlineLevel="0" collapsed="false">
      <c r="A39" s="43" t="s">
        <v>57</v>
      </c>
      <c r="B39" s="44" t="n">
        <v>1</v>
      </c>
      <c r="C39" s="44" t="n">
        <v>4</v>
      </c>
      <c r="D39" s="44" t="n">
        <v>4</v>
      </c>
      <c r="E39" s="44" t="n">
        <v>15</v>
      </c>
      <c r="F39" s="44" t="n">
        <v>5</v>
      </c>
      <c r="G39" s="44" t="n">
        <v>29</v>
      </c>
      <c r="H39" s="44"/>
      <c r="I39" s="44" t="n">
        <v>9</v>
      </c>
      <c r="J39" s="44" t="n">
        <v>4</v>
      </c>
      <c r="K39" s="44" t="n">
        <v>1</v>
      </c>
      <c r="L39" s="44" t="n">
        <v>0</v>
      </c>
      <c r="M39" s="44" t="n">
        <v>0</v>
      </c>
      <c r="N39" s="44" t="n">
        <v>14</v>
      </c>
      <c r="O39" s="44"/>
      <c r="P39" s="44" t="n">
        <v>10</v>
      </c>
      <c r="Q39" s="44" t="n">
        <v>8</v>
      </c>
      <c r="R39" s="44" t="n">
        <v>5</v>
      </c>
      <c r="S39" s="44" t="n">
        <v>15</v>
      </c>
      <c r="T39" s="44" t="n">
        <v>5</v>
      </c>
      <c r="U39" s="44" t="n">
        <v>43</v>
      </c>
    </row>
    <row r="40" customFormat="false" ht="15.1" hidden="false" customHeight="true" outlineLevel="0" collapsed="false">
      <c r="A40" s="43" t="s">
        <v>58</v>
      </c>
      <c r="B40" s="44" t="n">
        <v>6</v>
      </c>
      <c r="C40" s="44" t="n">
        <v>40</v>
      </c>
      <c r="D40" s="44" t="n">
        <v>35</v>
      </c>
      <c r="E40" s="44" t="n">
        <v>106</v>
      </c>
      <c r="F40" s="44" t="n">
        <v>30</v>
      </c>
      <c r="G40" s="44" t="n">
        <v>217</v>
      </c>
      <c r="H40" s="44"/>
      <c r="I40" s="44" t="n">
        <v>63</v>
      </c>
      <c r="J40" s="44" t="n">
        <v>31</v>
      </c>
      <c r="K40" s="44" t="n">
        <v>9</v>
      </c>
      <c r="L40" s="44" t="n">
        <v>9</v>
      </c>
      <c r="M40" s="44" t="n">
        <v>5</v>
      </c>
      <c r="N40" s="44" t="n">
        <v>117</v>
      </c>
      <c r="O40" s="44"/>
      <c r="P40" s="44" t="n">
        <v>69</v>
      </c>
      <c r="Q40" s="44" t="n">
        <v>71</v>
      </c>
      <c r="R40" s="44" t="n">
        <v>44</v>
      </c>
      <c r="S40" s="44" t="n">
        <v>115</v>
      </c>
      <c r="T40" s="44" t="n">
        <v>35</v>
      </c>
      <c r="U40" s="44" t="n">
        <v>334</v>
      </c>
    </row>
    <row r="41" customFormat="false" ht="15.1" hidden="false" customHeight="true" outlineLevel="0" collapsed="false">
      <c r="A41" s="43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customFormat="false" ht="20.05" hidden="false" customHeight="true" outlineLevel="0" collapsed="false">
      <c r="A42" s="42"/>
      <c r="B42" s="35" t="s">
        <v>59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customFormat="false" ht="20.05" hidden="false" customHeight="true" outlineLevel="0" collapsed="false">
      <c r="A43" s="9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 customFormat="false" ht="20.05" hidden="false" customHeight="true" outlineLevel="0" collapsed="false">
      <c r="A44" s="42" t="s">
        <v>29</v>
      </c>
      <c r="B44" s="48" t="n">
        <v>0</v>
      </c>
      <c r="C44" s="48" t="n">
        <v>0.144572147163844</v>
      </c>
      <c r="D44" s="48" t="n">
        <v>0.144572147163844</v>
      </c>
      <c r="E44" s="48" t="n">
        <v>0.289144294327688</v>
      </c>
      <c r="F44" s="48" t="n">
        <v>0.0963814314425626</v>
      </c>
      <c r="G44" s="48" t="n">
        <v>0.674670020097938</v>
      </c>
      <c r="H44" s="49"/>
      <c r="I44" s="48" t="n">
        <v>0.229686787612073</v>
      </c>
      <c r="J44" s="48" t="n">
        <v>0.137812072567244</v>
      </c>
      <c r="K44" s="48" t="n">
        <v>0</v>
      </c>
      <c r="L44" s="48" t="n">
        <v>0</v>
      </c>
      <c r="M44" s="48" t="n">
        <v>0</v>
      </c>
      <c r="N44" s="48" t="n">
        <v>0.367498860179316</v>
      </c>
      <c r="O44" s="49"/>
      <c r="P44" s="48" t="n">
        <v>0.117592661841605</v>
      </c>
      <c r="Q44" s="48" t="n">
        <v>0.141111194209925</v>
      </c>
      <c r="R44" s="48" t="n">
        <v>0.0705555971049627</v>
      </c>
      <c r="S44" s="48" t="n">
        <v>0.141111194209925</v>
      </c>
      <c r="T44" s="48" t="n">
        <v>0.0470370647366418</v>
      </c>
      <c r="U44" s="48" t="n">
        <v>0.51740771210306</v>
      </c>
    </row>
    <row r="45" customFormat="false" ht="16.1" hidden="false" customHeight="true" outlineLevel="0" collapsed="false">
      <c r="A45" s="38" t="s">
        <v>30</v>
      </c>
      <c r="B45" s="48" t="n">
        <v>0</v>
      </c>
      <c r="C45" s="48" t="n">
        <v>0</v>
      </c>
      <c r="D45" s="48" t="n">
        <v>0</v>
      </c>
      <c r="E45" s="48" t="n">
        <v>0</v>
      </c>
      <c r="F45" s="48" t="n">
        <v>0</v>
      </c>
      <c r="G45" s="48" t="n">
        <v>0</v>
      </c>
      <c r="H45" s="49"/>
      <c r="I45" s="48" t="n">
        <v>0</v>
      </c>
      <c r="J45" s="48" t="n">
        <v>0</v>
      </c>
      <c r="K45" s="48" t="n">
        <v>0</v>
      </c>
      <c r="L45" s="48" t="n">
        <v>0</v>
      </c>
      <c r="M45" s="48" t="n">
        <v>0</v>
      </c>
      <c r="N45" s="48" t="n">
        <v>0</v>
      </c>
      <c r="O45" s="49"/>
      <c r="P45" s="48" t="n">
        <v>0</v>
      </c>
      <c r="Q45" s="48" t="n">
        <v>0</v>
      </c>
      <c r="R45" s="48" t="n">
        <v>0</v>
      </c>
      <c r="S45" s="48" t="n">
        <v>0</v>
      </c>
      <c r="T45" s="48" t="n">
        <v>0</v>
      </c>
      <c r="U45" s="48" t="n">
        <v>0</v>
      </c>
    </row>
    <row r="46" customFormat="false" ht="20.05" hidden="false" customHeight="true" outlineLevel="0" collapsed="false">
      <c r="A46" s="42" t="s">
        <v>31</v>
      </c>
      <c r="B46" s="48" t="n">
        <v>0</v>
      </c>
      <c r="C46" s="48" t="n">
        <v>0</v>
      </c>
      <c r="D46" s="48" t="n">
        <v>0.549850852956136</v>
      </c>
      <c r="E46" s="48" t="n">
        <v>0.549850852956136</v>
      </c>
      <c r="F46" s="48" t="n">
        <v>0</v>
      </c>
      <c r="G46" s="48" t="n">
        <v>1.09970170591227</v>
      </c>
      <c r="H46" s="49"/>
      <c r="I46" s="48" t="n">
        <v>0.512313781945166</v>
      </c>
      <c r="J46" s="48" t="n">
        <v>0</v>
      </c>
      <c r="K46" s="48" t="n">
        <v>0</v>
      </c>
      <c r="L46" s="48" t="n">
        <v>0</v>
      </c>
      <c r="M46" s="48" t="n">
        <v>0</v>
      </c>
      <c r="N46" s="48" t="n">
        <v>0.512313781945166</v>
      </c>
      <c r="O46" s="49"/>
      <c r="P46" s="48" t="n">
        <v>0.265209517176129</v>
      </c>
      <c r="Q46" s="48" t="n">
        <v>0</v>
      </c>
      <c r="R46" s="48" t="n">
        <v>0.265209517176129</v>
      </c>
      <c r="S46" s="48" t="n">
        <v>0.265209517176129</v>
      </c>
      <c r="T46" s="48" t="n">
        <v>0</v>
      </c>
      <c r="U46" s="48" t="n">
        <v>0.795628551528386</v>
      </c>
    </row>
    <row r="47" customFormat="false" ht="20.05" hidden="false" customHeight="true" outlineLevel="0" collapsed="false">
      <c r="A47" s="42" t="s">
        <v>32</v>
      </c>
      <c r="B47" s="48" t="n">
        <v>0.040685973652984</v>
      </c>
      <c r="C47" s="48" t="n">
        <v>0.142400907785444</v>
      </c>
      <c r="D47" s="48" t="n">
        <v>0.0610289604794761</v>
      </c>
      <c r="E47" s="48" t="n">
        <v>0.244115841917904</v>
      </c>
      <c r="F47" s="48" t="n">
        <v>0.0813719473059681</v>
      </c>
      <c r="G47" s="48" t="n">
        <v>0.569603631141777</v>
      </c>
      <c r="H47" s="49"/>
      <c r="I47" s="48" t="n">
        <v>0.118044719077669</v>
      </c>
      <c r="J47" s="48" t="n">
        <v>0.0786964793851129</v>
      </c>
      <c r="K47" s="48" t="n">
        <v>0.0393482396925565</v>
      </c>
      <c r="L47" s="48" t="n">
        <v>0.0196741198462782</v>
      </c>
      <c r="M47" s="48" t="n">
        <v>0</v>
      </c>
      <c r="N47" s="48" t="n">
        <v>0.255763558001617</v>
      </c>
      <c r="O47" s="49"/>
      <c r="P47" s="48" t="n">
        <v>0.080011853756134</v>
      </c>
      <c r="Q47" s="48" t="n">
        <v>0.110016298914684</v>
      </c>
      <c r="R47" s="48" t="n">
        <v>0.0500074085975837</v>
      </c>
      <c r="S47" s="48" t="n">
        <v>0.130019262353718</v>
      </c>
      <c r="T47" s="48" t="n">
        <v>0.040005926878067</v>
      </c>
      <c r="U47" s="48" t="n">
        <v>0.410060750500187</v>
      </c>
    </row>
    <row r="48" customFormat="false" ht="26.05" hidden="false" customHeight="true" outlineLevel="0" collapsed="false">
      <c r="A48" s="50" t="s">
        <v>33</v>
      </c>
      <c r="B48" s="48" t="n">
        <v>0</v>
      </c>
      <c r="C48" s="48" t="n">
        <v>0.187271528734943</v>
      </c>
      <c r="D48" s="48" t="n">
        <v>0</v>
      </c>
      <c r="E48" s="48" t="n">
        <v>0</v>
      </c>
      <c r="F48" s="48" t="n">
        <v>0</v>
      </c>
      <c r="G48" s="48" t="n">
        <v>0.187271528734943</v>
      </c>
      <c r="H48" s="49"/>
      <c r="I48" s="48" t="n">
        <v>0.366538347700109</v>
      </c>
      <c r="J48" s="48" t="n">
        <v>0</v>
      </c>
      <c r="K48" s="48" t="n">
        <v>0.183269173850055</v>
      </c>
      <c r="L48" s="48" t="n">
        <v>0.183269173850055</v>
      </c>
      <c r="M48" s="48" t="n">
        <v>0</v>
      </c>
      <c r="N48" s="48" t="n">
        <v>0.733076695400219</v>
      </c>
      <c r="O48" s="49"/>
      <c r="P48" s="48" t="n">
        <v>0.185248735793159</v>
      </c>
      <c r="Q48" s="48" t="n">
        <v>0.0926243678965793</v>
      </c>
      <c r="R48" s="48" t="n">
        <v>0.0926243678965793</v>
      </c>
      <c r="S48" s="48" t="n">
        <v>0.0926243678965793</v>
      </c>
      <c r="T48" s="48" t="n">
        <v>0</v>
      </c>
      <c r="U48" s="48" t="n">
        <v>0.463121839482897</v>
      </c>
    </row>
    <row r="49" customFormat="false" ht="15.1" hidden="false" customHeight="true" outlineLevel="0" collapsed="false">
      <c r="A49" s="40" t="s">
        <v>34</v>
      </c>
      <c r="B49" s="48" t="n">
        <v>0</v>
      </c>
      <c r="C49" s="48" t="n">
        <v>0</v>
      </c>
      <c r="D49" s="48" t="n">
        <v>0</v>
      </c>
      <c r="E49" s="48" t="n">
        <v>0</v>
      </c>
      <c r="F49" s="48" t="n">
        <v>0</v>
      </c>
      <c r="G49" s="48" t="n">
        <v>0</v>
      </c>
      <c r="H49" s="51"/>
      <c r="I49" s="48" t="n">
        <v>0.740717421858942</v>
      </c>
      <c r="J49" s="48" t="n">
        <v>0</v>
      </c>
      <c r="K49" s="48" t="n">
        <v>0</v>
      </c>
      <c r="L49" s="48" t="n">
        <v>0</v>
      </c>
      <c r="M49" s="48" t="n">
        <v>0</v>
      </c>
      <c r="N49" s="48" t="n">
        <v>0.740717421858942</v>
      </c>
      <c r="O49" s="51"/>
      <c r="P49" s="48" t="n">
        <v>0.373454830638234</v>
      </c>
      <c r="Q49" s="48" t="n">
        <v>0</v>
      </c>
      <c r="R49" s="48" t="n">
        <v>0</v>
      </c>
      <c r="S49" s="48" t="n">
        <v>0</v>
      </c>
      <c r="T49" s="48" t="n">
        <v>0</v>
      </c>
      <c r="U49" s="48" t="n">
        <v>0.373454830638234</v>
      </c>
    </row>
    <row r="50" customFormat="false" ht="15.1" hidden="false" customHeight="true" outlineLevel="0" collapsed="false">
      <c r="A50" s="40" t="s">
        <v>35</v>
      </c>
      <c r="B50" s="48" t="n">
        <v>0</v>
      </c>
      <c r="C50" s="48" t="n">
        <v>0.372505378046396</v>
      </c>
      <c r="D50" s="48" t="n">
        <v>0</v>
      </c>
      <c r="E50" s="48" t="n">
        <v>0</v>
      </c>
      <c r="F50" s="48" t="n">
        <v>0</v>
      </c>
      <c r="G50" s="48" t="n">
        <v>0.372505378046396</v>
      </c>
      <c r="H50" s="51"/>
      <c r="I50" s="48" t="n">
        <v>0</v>
      </c>
      <c r="J50" s="48" t="n">
        <v>0</v>
      </c>
      <c r="K50" s="48" t="n">
        <v>0.362795996183386</v>
      </c>
      <c r="L50" s="48" t="n">
        <v>0.362795996183386</v>
      </c>
      <c r="M50" s="48" t="n">
        <v>0</v>
      </c>
      <c r="N50" s="48" t="n">
        <v>0.725591992366772</v>
      </c>
      <c r="O50" s="51"/>
      <c r="P50" s="48" t="n">
        <v>0</v>
      </c>
      <c r="Q50" s="48" t="n">
        <v>0.183793291361072</v>
      </c>
      <c r="R50" s="48" t="n">
        <v>0.183793291361072</v>
      </c>
      <c r="S50" s="48" t="n">
        <v>0.183793291361072</v>
      </c>
      <c r="T50" s="48" t="n">
        <v>0</v>
      </c>
      <c r="U50" s="48" t="n">
        <v>0.551379874083216</v>
      </c>
    </row>
    <row r="51" customFormat="false" ht="20.05" hidden="false" customHeight="true" outlineLevel="0" collapsed="false">
      <c r="A51" s="42" t="s">
        <v>36</v>
      </c>
      <c r="B51" s="48" t="n">
        <v>0.0419302594958935</v>
      </c>
      <c r="C51" s="48" t="n">
        <v>0.12579077848768</v>
      </c>
      <c r="D51" s="48" t="n">
        <v>0.0419302594958935</v>
      </c>
      <c r="E51" s="48" t="n">
        <v>0.251581556975361</v>
      </c>
      <c r="F51" s="48" t="n">
        <v>0.0419302594958935</v>
      </c>
      <c r="G51" s="48" t="n">
        <v>0.503163113950722</v>
      </c>
      <c r="H51" s="49"/>
      <c r="I51" s="48" t="n">
        <v>0.202769835959203</v>
      </c>
      <c r="J51" s="48" t="n">
        <v>0.0811079343836811</v>
      </c>
      <c r="K51" s="48" t="n">
        <v>0.0405539671918405</v>
      </c>
      <c r="L51" s="48" t="n">
        <v>0</v>
      </c>
      <c r="M51" s="48" t="n">
        <v>0</v>
      </c>
      <c r="N51" s="48" t="n">
        <v>0.324431737534724</v>
      </c>
      <c r="O51" s="49"/>
      <c r="P51" s="48" t="n">
        <v>0.123691893800202</v>
      </c>
      <c r="Q51" s="48" t="n">
        <v>0.103076578166835</v>
      </c>
      <c r="R51" s="48" t="n">
        <v>0.0412306312667338</v>
      </c>
      <c r="S51" s="48" t="n">
        <v>0.123691893800202</v>
      </c>
      <c r="T51" s="48" t="n">
        <v>0.0206153156333669</v>
      </c>
      <c r="U51" s="48" t="n">
        <v>0.412306312667338</v>
      </c>
    </row>
    <row r="52" customFormat="false" ht="20.05" hidden="false" customHeight="true" outlineLevel="0" collapsed="false">
      <c r="A52" s="42" t="s">
        <v>37</v>
      </c>
      <c r="B52" s="48" t="n">
        <v>0</v>
      </c>
      <c r="C52" s="48" t="n">
        <v>0.171330276801195</v>
      </c>
      <c r="D52" s="48" t="n">
        <v>0</v>
      </c>
      <c r="E52" s="48" t="n">
        <v>0.171330276801195</v>
      </c>
      <c r="F52" s="48" t="n">
        <v>0</v>
      </c>
      <c r="G52" s="48" t="n">
        <v>0.34266055360239</v>
      </c>
      <c r="H52" s="49"/>
      <c r="I52" s="48" t="n">
        <v>0.163571886572711</v>
      </c>
      <c r="J52" s="48" t="n">
        <v>0</v>
      </c>
      <c r="K52" s="48" t="n">
        <v>0</v>
      </c>
      <c r="L52" s="48" t="n">
        <v>0</v>
      </c>
      <c r="M52" s="48" t="n">
        <v>0.163571886572711</v>
      </c>
      <c r="N52" s="48" t="n">
        <v>0.327143773145422</v>
      </c>
      <c r="O52" s="49"/>
      <c r="P52" s="48" t="n">
        <v>0.0836806078559355</v>
      </c>
      <c r="Q52" s="48" t="n">
        <v>0.0836806078559355</v>
      </c>
      <c r="R52" s="48" t="n">
        <v>0</v>
      </c>
      <c r="S52" s="48" t="n">
        <v>0.0836806078559355</v>
      </c>
      <c r="T52" s="48" t="n">
        <v>0.0836806078559355</v>
      </c>
      <c r="U52" s="48" t="n">
        <v>0.334722431423742</v>
      </c>
    </row>
    <row r="53" customFormat="false" ht="20.05" hidden="false" customHeight="true" outlineLevel="0" collapsed="false">
      <c r="A53" s="42" t="s">
        <v>38</v>
      </c>
      <c r="B53" s="48" t="n">
        <v>0.0459274837181329</v>
      </c>
      <c r="C53" s="48" t="n">
        <v>0.0918549674362659</v>
      </c>
      <c r="D53" s="48" t="n">
        <v>0.137782451154399</v>
      </c>
      <c r="E53" s="48" t="n">
        <v>0.505202320899462</v>
      </c>
      <c r="F53" s="48" t="n">
        <v>0</v>
      </c>
      <c r="G53" s="48" t="n">
        <v>0.78076722320826</v>
      </c>
      <c r="H53" s="49"/>
      <c r="I53" s="48" t="n">
        <v>0.264429300970125</v>
      </c>
      <c r="J53" s="48" t="n">
        <v>0.088143100323375</v>
      </c>
      <c r="K53" s="48" t="n">
        <v>0.0440715501616875</v>
      </c>
      <c r="L53" s="48" t="n">
        <v>0</v>
      </c>
      <c r="M53" s="48" t="n">
        <v>0</v>
      </c>
      <c r="N53" s="48" t="n">
        <v>0.396643951455187</v>
      </c>
      <c r="O53" s="49"/>
      <c r="P53" s="48" t="n">
        <v>0.157431332388595</v>
      </c>
      <c r="Q53" s="48" t="n">
        <v>0.0899607613649117</v>
      </c>
      <c r="R53" s="48" t="n">
        <v>0.0899607613649117</v>
      </c>
      <c r="S53" s="48" t="n">
        <v>0.247392093753507</v>
      </c>
      <c r="T53" s="48" t="n">
        <v>0</v>
      </c>
      <c r="U53" s="48" t="n">
        <v>0.584744948871926</v>
      </c>
    </row>
    <row r="54" customFormat="false" ht="20.05" hidden="false" customHeight="true" outlineLevel="0" collapsed="false">
      <c r="A54" s="42" t="s">
        <v>39</v>
      </c>
      <c r="B54" s="48" t="n">
        <v>0</v>
      </c>
      <c r="C54" s="48" t="n">
        <v>0.168623685051426</v>
      </c>
      <c r="D54" s="48" t="n">
        <v>0.112415790034284</v>
      </c>
      <c r="E54" s="48" t="n">
        <v>0.505871055154278</v>
      </c>
      <c r="F54" s="48" t="n">
        <v>0</v>
      </c>
      <c r="G54" s="48" t="n">
        <v>0.786910530239988</v>
      </c>
      <c r="H54" s="49"/>
      <c r="I54" s="48" t="n">
        <v>0.159212006708133</v>
      </c>
      <c r="J54" s="48" t="n">
        <v>0.159212006708133</v>
      </c>
      <c r="K54" s="48" t="n">
        <v>0</v>
      </c>
      <c r="L54" s="48" t="n">
        <v>0.106141337805422</v>
      </c>
      <c r="M54" s="48" t="n">
        <v>0</v>
      </c>
      <c r="N54" s="48" t="n">
        <v>0.424565351221687</v>
      </c>
      <c r="O54" s="49"/>
      <c r="P54" s="48" t="n">
        <v>0.0818913740949468</v>
      </c>
      <c r="Q54" s="48" t="n">
        <v>0.163782748189894</v>
      </c>
      <c r="R54" s="48" t="n">
        <v>0.0545942493966312</v>
      </c>
      <c r="S54" s="48" t="n">
        <v>0.300268371681471</v>
      </c>
      <c r="T54" s="48" t="n">
        <v>0</v>
      </c>
      <c r="U54" s="48" t="n">
        <v>0.600536743362943</v>
      </c>
    </row>
    <row r="55" customFormat="false" ht="20.05" hidden="false" customHeight="true" outlineLevel="0" collapsed="false">
      <c r="A55" s="42" t="s">
        <v>40</v>
      </c>
      <c r="B55" s="48" t="n">
        <v>0</v>
      </c>
      <c r="C55" s="48" t="n">
        <v>0</v>
      </c>
      <c r="D55" s="48" t="n">
        <v>0</v>
      </c>
      <c r="E55" s="48" t="n">
        <v>0</v>
      </c>
      <c r="F55" s="48" t="n">
        <v>0</v>
      </c>
      <c r="G55" s="48" t="n">
        <v>0</v>
      </c>
      <c r="H55" s="49"/>
      <c r="I55" s="48" t="n">
        <v>0.453168953848141</v>
      </c>
      <c r="J55" s="48" t="n">
        <v>0</v>
      </c>
      <c r="K55" s="48" t="n">
        <v>0</v>
      </c>
      <c r="L55" s="48" t="n">
        <v>0</v>
      </c>
      <c r="M55" s="48" t="n">
        <v>0.22658447692407</v>
      </c>
      <c r="N55" s="48" t="n">
        <v>0.679753430772211</v>
      </c>
      <c r="O55" s="49"/>
      <c r="P55" s="48" t="n">
        <v>0.233810794459853</v>
      </c>
      <c r="Q55" s="48" t="n">
        <v>0</v>
      </c>
      <c r="R55" s="48" t="n">
        <v>0</v>
      </c>
      <c r="S55" s="48" t="n">
        <v>0</v>
      </c>
      <c r="T55" s="48" t="n">
        <v>0.116905397229927</v>
      </c>
      <c r="U55" s="48" t="n">
        <v>0.35071619168978</v>
      </c>
    </row>
    <row r="56" customFormat="false" ht="20.05" hidden="false" customHeight="true" outlineLevel="0" collapsed="false">
      <c r="A56" s="42" t="s">
        <v>41</v>
      </c>
      <c r="B56" s="48" t="n">
        <v>0.137765336037208</v>
      </c>
      <c r="C56" s="48" t="n">
        <v>0</v>
      </c>
      <c r="D56" s="48" t="n">
        <v>0.137765336037208</v>
      </c>
      <c r="E56" s="48" t="n">
        <v>0.137765336037208</v>
      </c>
      <c r="F56" s="48" t="n">
        <v>0</v>
      </c>
      <c r="G56" s="48" t="n">
        <v>0.413296008111623</v>
      </c>
      <c r="H56" s="49"/>
      <c r="I56" s="48" t="n">
        <v>0.527363229994311</v>
      </c>
      <c r="J56" s="48" t="n">
        <v>0.131840807498578</v>
      </c>
      <c r="K56" s="48" t="n">
        <v>0</v>
      </c>
      <c r="L56" s="48" t="n">
        <v>0</v>
      </c>
      <c r="M56" s="48" t="n">
        <v>0</v>
      </c>
      <c r="N56" s="48" t="n">
        <v>0.659204037492889</v>
      </c>
      <c r="O56" s="49"/>
      <c r="P56" s="48" t="n">
        <v>0.336844941852142</v>
      </c>
      <c r="Q56" s="48" t="n">
        <v>0.0673689883704284</v>
      </c>
      <c r="R56" s="48" t="n">
        <v>0.0673689883704284</v>
      </c>
      <c r="S56" s="48" t="n">
        <v>0.0673689883704284</v>
      </c>
      <c r="T56" s="48" t="n">
        <v>0</v>
      </c>
      <c r="U56" s="48" t="n">
        <v>0.538951906963427</v>
      </c>
    </row>
    <row r="57" customFormat="false" ht="20.05" hidden="false" customHeight="true" outlineLevel="0" collapsed="false">
      <c r="A57" s="42" t="s">
        <v>42</v>
      </c>
      <c r="B57" s="48" t="n">
        <v>0</v>
      </c>
      <c r="C57" s="48" t="n">
        <v>0</v>
      </c>
      <c r="D57" s="48" t="n">
        <v>0.28863464986813</v>
      </c>
      <c r="E57" s="48" t="n">
        <v>0.505110637269228</v>
      </c>
      <c r="F57" s="48" t="n">
        <v>0.108237993700549</v>
      </c>
      <c r="G57" s="48" t="n">
        <v>0.901983280837906</v>
      </c>
      <c r="H57" s="49"/>
      <c r="I57" s="48" t="n">
        <v>0.135651435497403</v>
      </c>
      <c r="J57" s="48" t="n">
        <v>0.0678257177487016</v>
      </c>
      <c r="K57" s="48" t="n">
        <v>0.0339128588743508</v>
      </c>
      <c r="L57" s="48" t="n">
        <v>0.101738576623052</v>
      </c>
      <c r="M57" s="48" t="n">
        <v>0</v>
      </c>
      <c r="N57" s="48" t="n">
        <v>0.339128588743508</v>
      </c>
      <c r="O57" s="49"/>
      <c r="P57" s="48" t="n">
        <v>0.0699251311620648</v>
      </c>
      <c r="Q57" s="48" t="n">
        <v>0.0349625655810324</v>
      </c>
      <c r="R57" s="48" t="n">
        <v>0.157331545114646</v>
      </c>
      <c r="S57" s="48" t="n">
        <v>0.297181807438775</v>
      </c>
      <c r="T57" s="48" t="n">
        <v>0.0524438483715486</v>
      </c>
      <c r="U57" s="48" t="n">
        <v>0.611844897668067</v>
      </c>
    </row>
    <row r="58" customFormat="false" ht="20.05" hidden="false" customHeight="true" outlineLevel="0" collapsed="false">
      <c r="A58" s="42" t="s">
        <v>43</v>
      </c>
      <c r="B58" s="48" t="n">
        <v>0</v>
      </c>
      <c r="C58" s="48" t="n">
        <v>0.481980360906894</v>
      </c>
      <c r="D58" s="48" t="n">
        <v>0</v>
      </c>
      <c r="E58" s="48" t="n">
        <v>0</v>
      </c>
      <c r="F58" s="48" t="n">
        <v>0</v>
      </c>
      <c r="G58" s="48" t="n">
        <v>0.481980360906894</v>
      </c>
      <c r="H58" s="49"/>
      <c r="I58" s="48" t="n">
        <v>0.462347213510402</v>
      </c>
      <c r="J58" s="48" t="n">
        <v>0.308231475673601</v>
      </c>
      <c r="K58" s="48" t="n">
        <v>0</v>
      </c>
      <c r="L58" s="48" t="n">
        <v>0.154115737836801</v>
      </c>
      <c r="M58" s="48" t="n">
        <v>0</v>
      </c>
      <c r="N58" s="48" t="n">
        <v>0.924694427020804</v>
      </c>
      <c r="O58" s="49"/>
      <c r="P58" s="48" t="n">
        <v>0.235979847321039</v>
      </c>
      <c r="Q58" s="48" t="n">
        <v>0.393299745535065</v>
      </c>
      <c r="R58" s="48" t="n">
        <v>0</v>
      </c>
      <c r="S58" s="48" t="n">
        <v>0.0786599491070129</v>
      </c>
      <c r="T58" s="48" t="n">
        <v>0</v>
      </c>
      <c r="U58" s="48" t="n">
        <v>0.707939541963116</v>
      </c>
    </row>
    <row r="59" customFormat="false" ht="20.05" hidden="false" customHeight="true" outlineLevel="0" collapsed="false">
      <c r="A59" s="42" t="s">
        <v>44</v>
      </c>
      <c r="B59" s="48" t="n">
        <v>0</v>
      </c>
      <c r="C59" s="48" t="n">
        <v>0</v>
      </c>
      <c r="D59" s="48" t="n">
        <v>0</v>
      </c>
      <c r="E59" s="48" t="n">
        <v>0</v>
      </c>
      <c r="F59" s="48" t="n">
        <v>0</v>
      </c>
      <c r="G59" s="48" t="n">
        <v>0</v>
      </c>
      <c r="H59" s="49"/>
      <c r="I59" s="48" t="n">
        <v>0</v>
      </c>
      <c r="J59" s="48" t="n">
        <v>0</v>
      </c>
      <c r="K59" s="48" t="n">
        <v>0</v>
      </c>
      <c r="L59" s="48" t="n">
        <v>0</v>
      </c>
      <c r="M59" s="48" t="n">
        <v>0</v>
      </c>
      <c r="N59" s="48" t="n">
        <v>0</v>
      </c>
      <c r="O59" s="49"/>
      <c r="P59" s="48" t="n">
        <v>0</v>
      </c>
      <c r="Q59" s="48" t="n">
        <v>0</v>
      </c>
      <c r="R59" s="48" t="n">
        <v>0</v>
      </c>
      <c r="S59" s="48" t="n">
        <v>0</v>
      </c>
      <c r="T59" s="48" t="n">
        <v>0</v>
      </c>
      <c r="U59" s="48" t="n">
        <v>0</v>
      </c>
    </row>
    <row r="60" customFormat="false" ht="20.05" hidden="false" customHeight="true" outlineLevel="0" collapsed="false">
      <c r="A60" s="42" t="s">
        <v>45</v>
      </c>
      <c r="B60" s="48" t="n">
        <v>0</v>
      </c>
      <c r="C60" s="48" t="n">
        <v>0.182790126774092</v>
      </c>
      <c r="D60" s="48" t="n">
        <v>0.109674076064455</v>
      </c>
      <c r="E60" s="48" t="n">
        <v>0.47525432961264</v>
      </c>
      <c r="F60" s="48" t="n">
        <v>0.329022228193366</v>
      </c>
      <c r="G60" s="48" t="n">
        <v>1.09674076064455</v>
      </c>
      <c r="H60" s="49"/>
      <c r="I60" s="48" t="n">
        <v>0.174554889395913</v>
      </c>
      <c r="J60" s="48" t="n">
        <v>0.104732933637548</v>
      </c>
      <c r="K60" s="48" t="n">
        <v>0.0698219557583651</v>
      </c>
      <c r="L60" s="48" t="n">
        <v>0</v>
      </c>
      <c r="M60" s="48" t="n">
        <v>0.0349109778791825</v>
      </c>
      <c r="N60" s="48" t="n">
        <v>0.384020756671008</v>
      </c>
      <c r="O60" s="49"/>
      <c r="P60" s="48" t="n">
        <v>0.0892888075051171</v>
      </c>
      <c r="Q60" s="48" t="n">
        <v>0.142862092008187</v>
      </c>
      <c r="R60" s="48" t="n">
        <v>0.0892888075051171</v>
      </c>
      <c r="S60" s="48" t="n">
        <v>0.232150899513305</v>
      </c>
      <c r="T60" s="48" t="n">
        <v>0.178577615010234</v>
      </c>
      <c r="U60" s="48" t="n">
        <v>0.732168221541961</v>
      </c>
    </row>
    <row r="61" customFormat="false" ht="20.05" hidden="false" customHeight="true" outlineLevel="0" collapsed="false">
      <c r="A61" s="42" t="s">
        <v>46</v>
      </c>
      <c r="B61" s="48" t="n">
        <v>0</v>
      </c>
      <c r="C61" s="48" t="n">
        <v>0.315640624210898</v>
      </c>
      <c r="D61" s="48" t="n">
        <v>0.0526067707018164</v>
      </c>
      <c r="E61" s="48" t="n">
        <v>0.420854165614531</v>
      </c>
      <c r="F61" s="48" t="n">
        <v>0.210427082807266</v>
      </c>
      <c r="G61" s="48" t="n">
        <v>0.999528643334512</v>
      </c>
      <c r="H61" s="49"/>
      <c r="I61" s="48" t="n">
        <v>0.150144852246205</v>
      </c>
      <c r="J61" s="48" t="n">
        <v>0.250241420410341</v>
      </c>
      <c r="K61" s="48" t="n">
        <v>0</v>
      </c>
      <c r="L61" s="48" t="n">
        <v>0.0500482840820682</v>
      </c>
      <c r="M61" s="48" t="n">
        <v>0</v>
      </c>
      <c r="N61" s="48" t="n">
        <v>0.450434556738614</v>
      </c>
      <c r="O61" s="49"/>
      <c r="P61" s="48" t="n">
        <v>0.0769434669418165</v>
      </c>
      <c r="Q61" s="48" t="n">
        <v>0.282126045453327</v>
      </c>
      <c r="R61" s="48" t="n">
        <v>0.0256478223139388</v>
      </c>
      <c r="S61" s="48" t="n">
        <v>0.23083040082545</v>
      </c>
      <c r="T61" s="48" t="n">
        <v>0.102591289255755</v>
      </c>
      <c r="U61" s="48" t="n">
        <v>0.718139024790287</v>
      </c>
    </row>
    <row r="62" customFormat="false" ht="20.05" hidden="false" customHeight="true" outlineLevel="0" collapsed="false">
      <c r="A62" s="42" t="s">
        <v>47</v>
      </c>
      <c r="B62" s="48" t="n">
        <v>0</v>
      </c>
      <c r="C62" s="48" t="n">
        <v>0</v>
      </c>
      <c r="D62" s="48" t="n">
        <v>0.378068260224384</v>
      </c>
      <c r="E62" s="48" t="n">
        <v>0.378068260224384</v>
      </c>
      <c r="F62" s="48" t="n">
        <v>0</v>
      </c>
      <c r="G62" s="48" t="n">
        <v>0.756136520448767</v>
      </c>
      <c r="H62" s="49"/>
      <c r="I62" s="48" t="n">
        <v>0</v>
      </c>
      <c r="J62" s="48" t="n">
        <v>0</v>
      </c>
      <c r="K62" s="48" t="n">
        <v>0</v>
      </c>
      <c r="L62" s="48" t="n">
        <v>0</v>
      </c>
      <c r="M62" s="48" t="n">
        <v>0</v>
      </c>
      <c r="N62" s="48" t="n">
        <v>0</v>
      </c>
      <c r="O62" s="49"/>
      <c r="P62" s="48" t="n">
        <v>0</v>
      </c>
      <c r="Q62" s="48" t="n">
        <v>0</v>
      </c>
      <c r="R62" s="48" t="n">
        <v>0.186704231558056</v>
      </c>
      <c r="S62" s="48" t="n">
        <v>0.186704231558056</v>
      </c>
      <c r="T62" s="48" t="n">
        <v>0</v>
      </c>
      <c r="U62" s="48" t="n">
        <v>0.373408463116112</v>
      </c>
    </row>
    <row r="63" customFormat="false" ht="20.05" hidden="false" customHeight="true" outlineLevel="0" collapsed="false">
      <c r="A63" s="42" t="s">
        <v>48</v>
      </c>
      <c r="B63" s="48" t="n">
        <v>0</v>
      </c>
      <c r="C63" s="48" t="n">
        <v>0.221598054369083</v>
      </c>
      <c r="D63" s="48" t="n">
        <v>0.110799027184541</v>
      </c>
      <c r="E63" s="48" t="n">
        <v>0.553995135922707</v>
      </c>
      <c r="F63" s="48" t="n">
        <v>0.221598054369083</v>
      </c>
      <c r="G63" s="48" t="n">
        <v>1.10799027184541</v>
      </c>
      <c r="H63" s="49"/>
      <c r="I63" s="48" t="n">
        <v>0.106400523490576</v>
      </c>
      <c r="J63" s="48" t="n">
        <v>0</v>
      </c>
      <c r="K63" s="48" t="n">
        <v>0</v>
      </c>
      <c r="L63" s="48" t="n">
        <v>0</v>
      </c>
      <c r="M63" s="48" t="n">
        <v>0.212801046981151</v>
      </c>
      <c r="N63" s="48" t="n">
        <v>0.319201570471727</v>
      </c>
      <c r="O63" s="49"/>
      <c r="P63" s="48" t="n">
        <v>0.0542776191665129</v>
      </c>
      <c r="Q63" s="48" t="n">
        <v>0.108555238333026</v>
      </c>
      <c r="R63" s="48" t="n">
        <v>0.0542776191665129</v>
      </c>
      <c r="S63" s="48" t="n">
        <v>0.271388095832564</v>
      </c>
      <c r="T63" s="48" t="n">
        <v>0.217110476666051</v>
      </c>
      <c r="U63" s="48" t="n">
        <v>0.705609049164667</v>
      </c>
    </row>
    <row r="64" customFormat="false" ht="20.05" hidden="false" customHeight="true" outlineLevel="0" collapsed="false">
      <c r="A64" s="42" t="s">
        <v>49</v>
      </c>
      <c r="B64" s="48" t="n">
        <v>0</v>
      </c>
      <c r="C64" s="48" t="n">
        <v>0.042699213715329</v>
      </c>
      <c r="D64" s="48" t="n">
        <v>0.128097641145987</v>
      </c>
      <c r="E64" s="48" t="n">
        <v>0.42699213715329</v>
      </c>
      <c r="F64" s="48" t="n">
        <v>0.042699213715329</v>
      </c>
      <c r="G64" s="48" t="n">
        <v>0.640488205729936</v>
      </c>
      <c r="H64" s="49"/>
      <c r="I64" s="48" t="n">
        <v>0.324899418247285</v>
      </c>
      <c r="J64" s="48" t="n">
        <v>0.121837281842732</v>
      </c>
      <c r="K64" s="48" t="n">
        <v>0.0406124272809107</v>
      </c>
      <c r="L64" s="48" t="n">
        <v>0</v>
      </c>
      <c r="M64" s="48" t="n">
        <v>0</v>
      </c>
      <c r="N64" s="48" t="n">
        <v>0.487349127370928</v>
      </c>
      <c r="O64" s="49"/>
      <c r="P64" s="48" t="n">
        <v>0.166518742517064</v>
      </c>
      <c r="Q64" s="48" t="n">
        <v>0.083259371258532</v>
      </c>
      <c r="R64" s="48" t="n">
        <v>0.083259371258532</v>
      </c>
      <c r="S64" s="48" t="n">
        <v>0.20814842814633</v>
      </c>
      <c r="T64" s="48" t="n">
        <v>0.020814842814633</v>
      </c>
      <c r="U64" s="48" t="n">
        <v>0.562000755995091</v>
      </c>
    </row>
    <row r="65" customFormat="false" ht="20.05" hidden="false" customHeight="true" outlineLevel="0" collapsed="false">
      <c r="A65" s="42" t="s">
        <v>50</v>
      </c>
      <c r="B65" s="48" t="n">
        <v>0.129452351825602</v>
      </c>
      <c r="C65" s="48" t="n">
        <v>0.388357055476805</v>
      </c>
      <c r="D65" s="48" t="n">
        <v>0.129452351825602</v>
      </c>
      <c r="E65" s="48" t="n">
        <v>0.647261759128009</v>
      </c>
      <c r="F65" s="48" t="n">
        <v>0.517809407302407</v>
      </c>
      <c r="G65" s="48" t="n">
        <v>1.81233292555842</v>
      </c>
      <c r="H65" s="49"/>
      <c r="I65" s="48" t="n">
        <v>0.124765440970975</v>
      </c>
      <c r="J65" s="48" t="n">
        <v>0.124765440970975</v>
      </c>
      <c r="K65" s="48" t="n">
        <v>0</v>
      </c>
      <c r="L65" s="48" t="n">
        <v>0</v>
      </c>
      <c r="M65" s="48" t="n">
        <v>0</v>
      </c>
      <c r="N65" s="48" t="n">
        <v>0.249530881941949</v>
      </c>
      <c r="O65" s="49"/>
      <c r="P65" s="48" t="n">
        <v>0.127065691056291</v>
      </c>
      <c r="Q65" s="48" t="n">
        <v>0.254131382112581</v>
      </c>
      <c r="R65" s="48" t="n">
        <v>0.0635328455281454</v>
      </c>
      <c r="S65" s="48" t="n">
        <v>0.317664227640727</v>
      </c>
      <c r="T65" s="48" t="n">
        <v>0.254131382112581</v>
      </c>
      <c r="U65" s="48" t="n">
        <v>1.01652552845033</v>
      </c>
    </row>
    <row r="66" customFormat="false" ht="15.1" hidden="false" customHeight="true" outlineLevel="0" collapsed="false">
      <c r="A66" s="43" t="s">
        <v>51</v>
      </c>
      <c r="B66" s="48" t="n">
        <v>0.0297208981046129</v>
      </c>
      <c r="C66" s="48" t="n">
        <v>0.126313816944605</v>
      </c>
      <c r="D66" s="48" t="n">
        <v>0.104023143366145</v>
      </c>
      <c r="E66" s="48" t="n">
        <v>0.297208981046129</v>
      </c>
      <c r="F66" s="48" t="n">
        <v>0.0520115716830725</v>
      </c>
      <c r="G66" s="48" t="n">
        <v>0.609278411144564</v>
      </c>
      <c r="H66" s="52"/>
      <c r="I66" s="48" t="n">
        <v>0.207216100633856</v>
      </c>
      <c r="J66" s="48" t="n">
        <v>0.0785992105852558</v>
      </c>
      <c r="K66" s="48" t="n">
        <v>0.035726913902389</v>
      </c>
      <c r="L66" s="48" t="n">
        <v>0.0142907655609556</v>
      </c>
      <c r="M66" s="48" t="n">
        <v>0.0071453827804778</v>
      </c>
      <c r="N66" s="48" t="n">
        <v>0.342978373462934</v>
      </c>
      <c r="O66" s="52"/>
      <c r="P66" s="48" t="n">
        <v>0.120202836823374</v>
      </c>
      <c r="Q66" s="48" t="n">
        <v>0.10199028578953</v>
      </c>
      <c r="R66" s="48" t="n">
        <v>0.0692076939286094</v>
      </c>
      <c r="S66" s="48" t="n">
        <v>0.152985428684294</v>
      </c>
      <c r="T66" s="48" t="n">
        <v>0.0291400816541513</v>
      </c>
      <c r="U66" s="48" t="n">
        <v>0.473526326879959</v>
      </c>
    </row>
    <row r="67" customFormat="false" ht="15.1" hidden="false" customHeight="true" outlineLevel="0" collapsed="false">
      <c r="A67" s="43" t="s">
        <v>52</v>
      </c>
      <c r="B67" s="48" t="n">
        <v>0.0257114569030666</v>
      </c>
      <c r="C67" s="48" t="n">
        <v>0.128557284515333</v>
      </c>
      <c r="D67" s="48" t="n">
        <v>0.128557284515333</v>
      </c>
      <c r="E67" s="48" t="n">
        <v>0.282826025933732</v>
      </c>
      <c r="F67" s="48" t="n">
        <v>0.0771343707091998</v>
      </c>
      <c r="G67" s="48" t="n">
        <v>0.642786422576665</v>
      </c>
      <c r="H67" s="52"/>
      <c r="I67" s="48" t="n">
        <v>0.18511281978471</v>
      </c>
      <c r="J67" s="48" t="n">
        <v>0.086385982566198</v>
      </c>
      <c r="K67" s="48" t="n">
        <v>0.024681709304628</v>
      </c>
      <c r="L67" s="48" t="n">
        <v>0.012340854652314</v>
      </c>
      <c r="M67" s="48" t="n">
        <v>0</v>
      </c>
      <c r="N67" s="48" t="n">
        <v>0.30852136630785</v>
      </c>
      <c r="O67" s="52"/>
      <c r="P67" s="48" t="n">
        <v>0.107040763641401</v>
      </c>
      <c r="Q67" s="48" t="n">
        <v>0.107040763641401</v>
      </c>
      <c r="R67" s="48" t="n">
        <v>0.0755581860998124</v>
      </c>
      <c r="S67" s="48" t="n">
        <v>0.144819856691307</v>
      </c>
      <c r="T67" s="48" t="n">
        <v>0.0377790930499062</v>
      </c>
      <c r="U67" s="48" t="n">
        <v>0.472238663123827</v>
      </c>
    </row>
    <row r="68" customFormat="false" ht="15.1" hidden="false" customHeight="true" outlineLevel="0" collapsed="false">
      <c r="A68" s="43" t="s">
        <v>53</v>
      </c>
      <c r="B68" s="48" t="n">
        <v>0.0352118255394892</v>
      </c>
      <c r="C68" s="48" t="n">
        <v>0.123241389388212</v>
      </c>
      <c r="D68" s="48" t="n">
        <v>0.0704236510789784</v>
      </c>
      <c r="E68" s="48" t="n">
        <v>0.316906429855403</v>
      </c>
      <c r="F68" s="48" t="n">
        <v>0.0176059127697446</v>
      </c>
      <c r="G68" s="48" t="n">
        <v>0.563389208631827</v>
      </c>
      <c r="H68" s="52"/>
      <c r="I68" s="48" t="n">
        <v>0.237614956843183</v>
      </c>
      <c r="J68" s="48" t="n">
        <v>0.067889987669481</v>
      </c>
      <c r="K68" s="48" t="n">
        <v>0.0509174907521107</v>
      </c>
      <c r="L68" s="48" t="n">
        <v>0.0169724969173702</v>
      </c>
      <c r="M68" s="48" t="n">
        <v>0.0169724969173702</v>
      </c>
      <c r="N68" s="48" t="n">
        <v>0.390367429099516</v>
      </c>
      <c r="O68" s="52"/>
      <c r="P68" s="48" t="n">
        <v>0.1382672264761</v>
      </c>
      <c r="Q68" s="48" t="n">
        <v>0.0950587182023186</v>
      </c>
      <c r="R68" s="48" t="n">
        <v>0.0604919115832937</v>
      </c>
      <c r="S68" s="48" t="n">
        <v>0.164192331440369</v>
      </c>
      <c r="T68" s="48" t="n">
        <v>0.0172834033095125</v>
      </c>
      <c r="U68" s="48" t="n">
        <v>0.475293591011593</v>
      </c>
    </row>
    <row r="69" customFormat="false" ht="15.1" hidden="false" customHeight="true" outlineLevel="0" collapsed="false">
      <c r="A69" s="45" t="s">
        <v>54</v>
      </c>
      <c r="B69" s="48" t="n">
        <v>0.0175725074606277</v>
      </c>
      <c r="C69" s="48" t="n">
        <v>0.0527175223818831</v>
      </c>
      <c r="D69" s="48" t="n">
        <v>0.193297582066905</v>
      </c>
      <c r="E69" s="48" t="n">
        <v>0.421740179055065</v>
      </c>
      <c r="F69" s="48" t="n">
        <v>0.0527175223818831</v>
      </c>
      <c r="G69" s="48" t="n">
        <v>0.738045313346363</v>
      </c>
      <c r="H69" s="52"/>
      <c r="I69" s="48" t="n">
        <v>0.215487197491199</v>
      </c>
      <c r="J69" s="48" t="n">
        <v>0.0994556296113224</v>
      </c>
      <c r="K69" s="48" t="n">
        <v>0.0165759382685537</v>
      </c>
      <c r="L69" s="48" t="n">
        <v>0.0828796913427687</v>
      </c>
      <c r="M69" s="48" t="n">
        <v>0.0165759382685537</v>
      </c>
      <c r="N69" s="48" t="n">
        <v>0.430974394982397</v>
      </c>
      <c r="O69" s="52"/>
      <c r="P69" s="48" t="n">
        <v>0.11941776843419</v>
      </c>
      <c r="Q69" s="48" t="n">
        <v>0.0767685654219795</v>
      </c>
      <c r="R69" s="48" t="n">
        <v>0.102358087229306</v>
      </c>
      <c r="S69" s="48" t="n">
        <v>0.247365377470823</v>
      </c>
      <c r="T69" s="48" t="n">
        <v>0.0341193624097687</v>
      </c>
      <c r="U69" s="48" t="n">
        <v>0.580029160966068</v>
      </c>
    </row>
    <row r="70" customFormat="false" ht="15.1" hidden="false" customHeight="true" outlineLevel="0" collapsed="false">
      <c r="A70" s="45" t="s">
        <v>55</v>
      </c>
      <c r="B70" s="48" t="n">
        <v>0.0103266468123113</v>
      </c>
      <c r="C70" s="48" t="n">
        <v>0.206532936246226</v>
      </c>
      <c r="D70" s="48" t="n">
        <v>0.103266468123113</v>
      </c>
      <c r="E70" s="48" t="n">
        <v>0.433719166117074</v>
      </c>
      <c r="F70" s="48" t="n">
        <v>0.206532936246226</v>
      </c>
      <c r="G70" s="48" t="n">
        <v>0.960378153544949</v>
      </c>
      <c r="H70" s="52"/>
      <c r="I70" s="48" t="n">
        <v>0.207250899715632</v>
      </c>
      <c r="J70" s="48" t="n">
        <v>0.138167266477088</v>
      </c>
      <c r="K70" s="48" t="n">
        <v>0.0296072713879474</v>
      </c>
      <c r="L70" s="48" t="n">
        <v>0.0197381809252983</v>
      </c>
      <c r="M70" s="48" t="n">
        <v>0.0296072713879474</v>
      </c>
      <c r="N70" s="48" t="n">
        <v>0.424370889893913</v>
      </c>
      <c r="O70" s="52"/>
      <c r="P70" s="48" t="n">
        <v>0.111019539615594</v>
      </c>
      <c r="Q70" s="48" t="n">
        <v>0.171575652133191</v>
      </c>
      <c r="R70" s="48" t="n">
        <v>0.0656024552273966</v>
      </c>
      <c r="S70" s="48" t="n">
        <v>0.222039079231189</v>
      </c>
      <c r="T70" s="48" t="n">
        <v>0.116065882325394</v>
      </c>
      <c r="U70" s="48" t="n">
        <v>0.686302608532765</v>
      </c>
    </row>
    <row r="71" customFormat="false" ht="15.1" hidden="false" customHeight="true" outlineLevel="0" collapsed="false">
      <c r="A71" s="43" t="s">
        <v>56</v>
      </c>
      <c r="B71" s="48" t="n">
        <v>0</v>
      </c>
      <c r="C71" s="48" t="n">
        <v>0.243559487958799</v>
      </c>
      <c r="D71" s="48" t="n">
        <v>0.0913348079845498</v>
      </c>
      <c r="E71" s="48" t="n">
        <v>0.411006635930474</v>
      </c>
      <c r="F71" s="48" t="n">
        <v>0.228337019961375</v>
      </c>
      <c r="G71" s="48" t="n">
        <v>0.974237951835198</v>
      </c>
      <c r="H71" s="52"/>
      <c r="I71" s="48" t="n">
        <v>0.174701949375306</v>
      </c>
      <c r="J71" s="48" t="n">
        <v>0.145584957812755</v>
      </c>
      <c r="K71" s="48" t="n">
        <v>0.029116991562551</v>
      </c>
      <c r="L71" s="48" t="n">
        <v>0.029116991562551</v>
      </c>
      <c r="M71" s="48" t="n">
        <v>0.0436754873438265</v>
      </c>
      <c r="N71" s="48" t="n">
        <v>0.422196377656989</v>
      </c>
      <c r="O71" s="52"/>
      <c r="P71" s="48" t="n">
        <v>0.0892984811779452</v>
      </c>
      <c r="Q71" s="48" t="n">
        <v>0.193480042552215</v>
      </c>
      <c r="R71" s="48" t="n">
        <v>0.0595323207852968</v>
      </c>
      <c r="S71" s="48" t="n">
        <v>0.215804662846701</v>
      </c>
      <c r="T71" s="48" t="n">
        <v>0.133947721766918</v>
      </c>
      <c r="U71" s="48" t="n">
        <v>0.692063229129075</v>
      </c>
    </row>
    <row r="72" customFormat="false" ht="15.1" hidden="false" customHeight="true" outlineLevel="0" collapsed="false">
      <c r="A72" s="43" t="s">
        <v>57</v>
      </c>
      <c r="B72" s="48" t="n">
        <v>0.0321084134157299</v>
      </c>
      <c r="C72" s="48" t="n">
        <v>0.12843365366292</v>
      </c>
      <c r="D72" s="48" t="n">
        <v>0.12843365366292</v>
      </c>
      <c r="E72" s="48" t="n">
        <v>0.481626201235949</v>
      </c>
      <c r="F72" s="48" t="n">
        <v>0.16054206707865</v>
      </c>
      <c r="G72" s="48" t="n">
        <v>0.931143989056168</v>
      </c>
      <c r="H72" s="52"/>
      <c r="I72" s="48" t="n">
        <v>0.27575181050213</v>
      </c>
      <c r="J72" s="48" t="n">
        <v>0.122556360223169</v>
      </c>
      <c r="K72" s="48" t="n">
        <v>0.0306390900557923</v>
      </c>
      <c r="L72" s="48" t="n">
        <v>0</v>
      </c>
      <c r="M72" s="48" t="n">
        <v>0</v>
      </c>
      <c r="N72" s="48" t="n">
        <v>0.428947260781092</v>
      </c>
      <c r="O72" s="52"/>
      <c r="P72" s="48" t="n">
        <v>0.15678274286078</v>
      </c>
      <c r="Q72" s="48" t="n">
        <v>0.125426194288624</v>
      </c>
      <c r="R72" s="48" t="n">
        <v>0.0783913714303901</v>
      </c>
      <c r="S72" s="48" t="n">
        <v>0.23517411429117</v>
      </c>
      <c r="T72" s="48" t="n">
        <v>0.0783913714303901</v>
      </c>
      <c r="U72" s="48" t="n">
        <v>0.674165794301355</v>
      </c>
    </row>
    <row r="73" customFormat="false" ht="15.4" hidden="false" customHeight="true" outlineLevel="0" collapsed="false">
      <c r="A73" s="43" t="s">
        <v>58</v>
      </c>
      <c r="B73" s="48" t="n">
        <v>0.0208095349566632</v>
      </c>
      <c r="C73" s="48" t="n">
        <v>0.138730233044421</v>
      </c>
      <c r="D73" s="48" t="n">
        <v>0.121388953913869</v>
      </c>
      <c r="E73" s="48" t="n">
        <v>0.367635117567716</v>
      </c>
      <c r="F73" s="48" t="n">
        <v>0.104047674783316</v>
      </c>
      <c r="G73" s="48" t="n">
        <v>0.752611514265985</v>
      </c>
      <c r="H73" s="52"/>
      <c r="I73" s="48" t="n">
        <v>0.208882212099761</v>
      </c>
      <c r="J73" s="48" t="n">
        <v>0.102783310715755</v>
      </c>
      <c r="K73" s="48" t="n">
        <v>0.0298403160142515</v>
      </c>
      <c r="L73" s="48" t="n">
        <v>0.0298403160142515</v>
      </c>
      <c r="M73" s="48" t="n">
        <v>0.0165779533412509</v>
      </c>
      <c r="N73" s="48" t="n">
        <v>0.38792410818527</v>
      </c>
      <c r="O73" s="52"/>
      <c r="P73" s="48" t="n">
        <v>0.116962087756315</v>
      </c>
      <c r="Q73" s="48" t="n">
        <v>0.120352293198527</v>
      </c>
      <c r="R73" s="48" t="n">
        <v>0.0745845197286649</v>
      </c>
      <c r="S73" s="48" t="n">
        <v>0.194936812927192</v>
      </c>
      <c r="T73" s="48" t="n">
        <v>0.0593285952387107</v>
      </c>
      <c r="U73" s="48" t="n">
        <v>0.566164308849411</v>
      </c>
    </row>
  </sheetData>
  <mergeCells count="7">
    <mergeCell ref="A1:U1"/>
    <mergeCell ref="A5:A6"/>
    <mergeCell ref="B5:G5"/>
    <mergeCell ref="I5:N5"/>
    <mergeCell ref="P5:U5"/>
    <mergeCell ref="B9:U9"/>
    <mergeCell ref="B42:U42"/>
  </mergeCell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2"/>
  <sheetViews>
    <sheetView showFormulas="false" showGridLines="false" showRowColHeaders="true" showZeros="true" rightToLeft="false" tabSelected="false" showOutlineSymbols="true" defaultGridColor="true" view="normal" topLeftCell="A8" colorId="64" zoomScale="32" zoomScaleNormal="32" zoomScalePageLayoutView="100" workbookViewId="0">
      <selection pane="topLeft" activeCell="B40" activeCellId="0" sqref="B40"/>
    </sheetView>
  </sheetViews>
  <sheetFormatPr defaultColWidth="16.35546875" defaultRowHeight="19.9" customHeight="true" zeroHeight="false" outlineLevelRow="0" outlineLevelCol="0"/>
  <cols>
    <col collapsed="false" customWidth="false" hidden="false" outlineLevel="0" max="16384" min="1" style="1" width="16.35"/>
  </cols>
  <sheetData>
    <row r="1" customFormat="false" ht="27.6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44.05" hidden="false" customHeight="true" outlineLevel="0" collapsed="false">
      <c r="A2" s="5" t="s">
        <v>4</v>
      </c>
      <c r="B2" s="53" t="n">
        <v>2002</v>
      </c>
      <c r="C2" s="53" t="n">
        <v>2003</v>
      </c>
      <c r="D2" s="53" t="n">
        <v>2004</v>
      </c>
      <c r="E2" s="53" t="n">
        <v>2005</v>
      </c>
      <c r="F2" s="53" t="n">
        <v>2006</v>
      </c>
      <c r="G2" s="53" t="n">
        <v>2007</v>
      </c>
      <c r="H2" s="53" t="n">
        <v>2008</v>
      </c>
      <c r="I2" s="53" t="n">
        <v>2009</v>
      </c>
      <c r="J2" s="53" t="n">
        <v>2010</v>
      </c>
      <c r="K2" s="53" t="n">
        <v>2011</v>
      </c>
      <c r="L2" s="53" t="n">
        <v>2012</v>
      </c>
      <c r="M2" s="53" t="n">
        <v>2013</v>
      </c>
      <c r="N2" s="53" t="n">
        <v>2014</v>
      </c>
      <c r="O2" s="53" t="n">
        <v>2015</v>
      </c>
      <c r="P2" s="53" t="n">
        <v>2016</v>
      </c>
      <c r="Q2" s="53" t="n">
        <v>2017</v>
      </c>
      <c r="R2" s="53" t="n">
        <v>2018</v>
      </c>
      <c r="S2" s="53" t="n">
        <v>2019</v>
      </c>
      <c r="T2" s="53" t="n">
        <v>2020</v>
      </c>
      <c r="U2" s="53" t="n">
        <v>2021</v>
      </c>
      <c r="V2" s="42" t="s">
        <v>5</v>
      </c>
      <c r="W2" s="9" t="n">
        <v>2023</v>
      </c>
      <c r="X2" s="1" t="n">
        <v>2024</v>
      </c>
      <c r="Y2" s="1" t="n">
        <v>2025</v>
      </c>
    </row>
    <row r="3" customFormat="false" ht="20.05" hidden="false" customHeight="true" outlineLevel="0" collapsed="false">
      <c r="A3" s="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customFormat="false" ht="20.05" hidden="false" customHeight="true" outlineLevel="0" collapsed="false">
      <c r="A4" s="3"/>
      <c r="B4" s="42" t="s">
        <v>6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9"/>
    </row>
    <row r="5" customFormat="false" ht="20.05" hidden="false" customHeight="true" outlineLevel="0" collapsed="false">
      <c r="A5" s="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9"/>
    </row>
    <row r="6" customFormat="false" ht="44.05" hidden="false" customHeight="true" outlineLevel="0" collapsed="false">
      <c r="A6" s="5" t="s">
        <v>60</v>
      </c>
      <c r="B6" s="54" t="n">
        <v>10</v>
      </c>
      <c r="C6" s="54" t="n">
        <v>17</v>
      </c>
      <c r="D6" s="54" t="n">
        <v>25</v>
      </c>
      <c r="E6" s="54" t="n">
        <v>20</v>
      </c>
      <c r="F6" s="54" t="n">
        <v>11</v>
      </c>
      <c r="G6" s="54" t="n">
        <v>15</v>
      </c>
      <c r="H6" s="54" t="n">
        <v>20</v>
      </c>
      <c r="I6" s="54" t="n">
        <v>13</v>
      </c>
      <c r="J6" s="54" t="n">
        <v>12</v>
      </c>
      <c r="K6" s="54" t="n">
        <v>9</v>
      </c>
      <c r="L6" s="54" t="n">
        <v>7</v>
      </c>
      <c r="M6" s="54" t="n">
        <v>7</v>
      </c>
      <c r="N6" s="54" t="n">
        <v>11</v>
      </c>
      <c r="O6" s="54" t="n">
        <v>9</v>
      </c>
      <c r="P6" s="54" t="n">
        <v>6</v>
      </c>
      <c r="Q6" s="54" t="n">
        <v>7</v>
      </c>
      <c r="R6" s="54" t="n">
        <v>5</v>
      </c>
      <c r="S6" s="54" t="n">
        <v>10</v>
      </c>
      <c r="T6" s="54" t="n">
        <v>5</v>
      </c>
      <c r="U6" s="54" t="n">
        <v>7</v>
      </c>
      <c r="V6" s="54" t="n">
        <v>8</v>
      </c>
      <c r="W6" s="54" t="n">
        <v>6</v>
      </c>
      <c r="X6" s="1" t="n">
        <f aca="false">72-62</f>
        <v>10</v>
      </c>
      <c r="Y6" s="1" t="n">
        <f aca="false">71-62</f>
        <v>9</v>
      </c>
    </row>
    <row r="7" customFormat="false" ht="56.05" hidden="false" customHeight="true" outlineLevel="0" collapsed="false">
      <c r="A7" s="5" t="s">
        <v>61</v>
      </c>
      <c r="B7" s="54" t="n">
        <v>0</v>
      </c>
      <c r="C7" s="54" t="n">
        <v>0</v>
      </c>
      <c r="D7" s="54" t="n">
        <v>1</v>
      </c>
      <c r="E7" s="54" t="n">
        <v>1</v>
      </c>
      <c r="F7" s="54" t="n">
        <v>0</v>
      </c>
      <c r="G7" s="54" t="n">
        <v>2</v>
      </c>
      <c r="H7" s="54" t="n">
        <v>2</v>
      </c>
      <c r="I7" s="54" t="n">
        <v>3</v>
      </c>
      <c r="J7" s="54" t="n">
        <v>2</v>
      </c>
      <c r="K7" s="54" t="n">
        <v>1</v>
      </c>
      <c r="L7" s="54" t="n">
        <v>1</v>
      </c>
      <c r="M7" s="54" t="n">
        <v>1</v>
      </c>
      <c r="N7" s="54" t="n">
        <v>0</v>
      </c>
      <c r="O7" s="54" t="n">
        <v>1</v>
      </c>
      <c r="P7" s="54" t="n">
        <v>1</v>
      </c>
      <c r="Q7" s="54" t="n">
        <v>1</v>
      </c>
      <c r="R7" s="54" t="n">
        <v>0</v>
      </c>
      <c r="S7" s="54" t="n">
        <v>1</v>
      </c>
      <c r="T7" s="54" t="n">
        <v>0</v>
      </c>
      <c r="U7" s="54" t="n">
        <v>1</v>
      </c>
      <c r="V7" s="54"/>
      <c r="W7" s="54" t="n">
        <v>0</v>
      </c>
    </row>
    <row r="8" customFormat="false" ht="20.05" hidden="false" customHeight="true" outlineLevel="0" collapsed="false">
      <c r="A8" s="5" t="s">
        <v>10</v>
      </c>
      <c r="B8" s="54" t="n">
        <v>27</v>
      </c>
      <c r="C8" s="54" t="n">
        <v>30</v>
      </c>
      <c r="D8" s="54" t="n">
        <v>25</v>
      </c>
      <c r="E8" s="54" t="n">
        <v>35</v>
      </c>
      <c r="F8" s="54" t="n">
        <v>44</v>
      </c>
      <c r="G8" s="54" t="n">
        <v>47</v>
      </c>
      <c r="H8" s="54" t="n">
        <v>41</v>
      </c>
      <c r="I8" s="54" t="n">
        <v>35</v>
      </c>
      <c r="J8" s="54" t="n">
        <v>45</v>
      </c>
      <c r="K8" s="54" t="n">
        <v>49</v>
      </c>
      <c r="L8" s="54" t="n">
        <v>38</v>
      </c>
      <c r="M8" s="54" t="n">
        <v>35</v>
      </c>
      <c r="N8" s="54" t="n">
        <v>53</v>
      </c>
      <c r="O8" s="54" t="n">
        <v>38</v>
      </c>
      <c r="P8" s="54" t="n">
        <v>33</v>
      </c>
      <c r="Q8" s="54" t="n">
        <v>29</v>
      </c>
      <c r="R8" s="54" t="n">
        <v>34</v>
      </c>
      <c r="S8" s="54" t="n">
        <v>46</v>
      </c>
      <c r="T8" s="54" t="n">
        <v>39</v>
      </c>
      <c r="U8" s="54" t="n">
        <v>31</v>
      </c>
      <c r="V8" s="54" t="n">
        <v>27</v>
      </c>
      <c r="W8" s="54" t="n">
        <v>40</v>
      </c>
      <c r="X8" s="1" t="n">
        <f aca="false">158-101-X6</f>
        <v>47</v>
      </c>
      <c r="Y8" s="1" t="n">
        <f aca="false">128-85-Y6</f>
        <v>34</v>
      </c>
    </row>
    <row r="9" customFormat="false" ht="20.05" hidden="false" customHeight="true" outlineLevel="0" collapsed="false">
      <c r="A9" s="5" t="s">
        <v>11</v>
      </c>
      <c r="B9" s="54" t="n">
        <v>0</v>
      </c>
      <c r="C9" s="54" t="n">
        <v>0</v>
      </c>
      <c r="D9" s="54" t="n">
        <v>8</v>
      </c>
      <c r="E9" s="54" t="n">
        <v>15</v>
      </c>
      <c r="F9" s="54" t="n">
        <v>7</v>
      </c>
      <c r="G9" s="54" t="n">
        <v>18</v>
      </c>
      <c r="H9" s="54" t="n">
        <v>24</v>
      </c>
      <c r="I9" s="54" t="n">
        <v>38</v>
      </c>
      <c r="J9" s="54" t="n">
        <v>28</v>
      </c>
      <c r="K9" s="54" t="n">
        <v>45</v>
      </c>
      <c r="L9" s="54" t="n">
        <v>32</v>
      </c>
      <c r="M9" s="54" t="n">
        <v>31</v>
      </c>
      <c r="N9" s="54" t="n">
        <v>37</v>
      </c>
      <c r="O9" s="54" t="n">
        <v>43</v>
      </c>
      <c r="P9" s="54" t="n">
        <v>20</v>
      </c>
      <c r="Q9" s="54" t="n">
        <v>21</v>
      </c>
      <c r="R9" s="54" t="n">
        <v>23</v>
      </c>
      <c r="S9" s="54" t="n">
        <v>16</v>
      </c>
      <c r="T9" s="54" t="n">
        <v>23</v>
      </c>
      <c r="U9" s="54" t="n">
        <v>28</v>
      </c>
      <c r="V9" s="54" t="n">
        <v>20</v>
      </c>
      <c r="W9" s="54" t="n">
        <v>35</v>
      </c>
    </row>
    <row r="10" customFormat="false" ht="44.05" hidden="false" customHeight="true" outlineLevel="0" collapsed="false">
      <c r="A10" s="5" t="s">
        <v>12</v>
      </c>
      <c r="B10" s="54" t="n">
        <v>217</v>
      </c>
      <c r="C10" s="54" t="n">
        <v>230</v>
      </c>
      <c r="D10" s="54" t="n">
        <v>209</v>
      </c>
      <c r="E10" s="54" t="n">
        <v>182</v>
      </c>
      <c r="F10" s="54" t="n">
        <v>174</v>
      </c>
      <c r="G10" s="54" t="n">
        <v>202</v>
      </c>
      <c r="H10" s="54" t="n">
        <v>189</v>
      </c>
      <c r="I10" s="54" t="n">
        <v>177</v>
      </c>
      <c r="J10" s="54" t="n">
        <v>146</v>
      </c>
      <c r="K10" s="54" t="n">
        <v>141</v>
      </c>
      <c r="L10" s="54" t="n">
        <v>123</v>
      </c>
      <c r="M10" s="54" t="n">
        <v>109</v>
      </c>
      <c r="N10" s="54" t="n">
        <v>112</v>
      </c>
      <c r="O10" s="54" t="n">
        <v>118</v>
      </c>
      <c r="P10" s="54" t="n">
        <v>97</v>
      </c>
      <c r="Q10" s="54" t="n">
        <v>75</v>
      </c>
      <c r="R10" s="54" t="n">
        <v>80</v>
      </c>
      <c r="S10" s="54" t="n">
        <v>88</v>
      </c>
      <c r="T10" s="54" t="n">
        <v>77</v>
      </c>
      <c r="U10" s="54" t="n">
        <v>79</v>
      </c>
      <c r="V10" s="54" t="n">
        <v>107</v>
      </c>
      <c r="W10" s="54" t="n">
        <v>106</v>
      </c>
    </row>
    <row r="11" customFormat="false" ht="32.05" hidden="false" customHeight="true" outlineLevel="0" collapsed="false">
      <c r="A11" s="5" t="s">
        <v>13</v>
      </c>
      <c r="B11" s="54" t="n">
        <v>201</v>
      </c>
      <c r="C11" s="54" t="n">
        <v>247</v>
      </c>
      <c r="D11" s="54" t="n">
        <v>257</v>
      </c>
      <c r="E11" s="54" t="n">
        <v>215</v>
      </c>
      <c r="F11" s="54" t="n">
        <v>203</v>
      </c>
      <c r="G11" s="54" t="n">
        <v>198</v>
      </c>
      <c r="H11" s="54" t="n">
        <v>188</v>
      </c>
      <c r="I11" s="54" t="n">
        <v>151</v>
      </c>
      <c r="J11" s="54" t="n">
        <v>137</v>
      </c>
      <c r="K11" s="54" t="n">
        <v>136</v>
      </c>
      <c r="L11" s="54" t="n">
        <v>167</v>
      </c>
      <c r="M11" s="54" t="n">
        <v>140</v>
      </c>
      <c r="N11" s="54" t="n">
        <v>115</v>
      </c>
      <c r="O11" s="54" t="n">
        <v>119</v>
      </c>
      <c r="P11" s="54" t="n">
        <v>94</v>
      </c>
      <c r="Q11" s="54" t="n">
        <v>101</v>
      </c>
      <c r="R11" s="54" t="n">
        <v>70</v>
      </c>
      <c r="S11" s="54" t="n">
        <v>43</v>
      </c>
      <c r="T11" s="54" t="n">
        <v>26</v>
      </c>
      <c r="U11" s="54" t="n">
        <v>38</v>
      </c>
      <c r="V11" s="54" t="n">
        <v>34</v>
      </c>
      <c r="W11" s="54" t="n">
        <v>30</v>
      </c>
    </row>
    <row r="12" customFormat="false" ht="20.05" hidden="false" customHeight="true" outlineLevel="0" collapsed="false">
      <c r="A12" s="5" t="s">
        <v>14</v>
      </c>
      <c r="B12" s="54" t="n">
        <v>455</v>
      </c>
      <c r="C12" s="54" t="n">
        <v>524</v>
      </c>
      <c r="D12" s="54" t="n">
        <v>525</v>
      </c>
      <c r="E12" s="54" t="n">
        <v>468</v>
      </c>
      <c r="F12" s="54" t="n">
        <v>439</v>
      </c>
      <c r="G12" s="54" t="n">
        <v>482</v>
      </c>
      <c r="H12" s="54" t="n">
        <v>464</v>
      </c>
      <c r="I12" s="54" t="n">
        <v>417</v>
      </c>
      <c r="J12" s="54" t="n">
        <v>370</v>
      </c>
      <c r="K12" s="54" t="n">
        <v>381</v>
      </c>
      <c r="L12" s="54" t="n">
        <v>368</v>
      </c>
      <c r="M12" s="54" t="n">
        <v>323</v>
      </c>
      <c r="N12" s="54" t="n">
        <v>328</v>
      </c>
      <c r="O12" s="54" t="n">
        <v>328</v>
      </c>
      <c r="P12" s="54" t="n">
        <v>251</v>
      </c>
      <c r="Q12" s="54" t="n">
        <v>234</v>
      </c>
      <c r="R12" s="54" t="n">
        <v>212</v>
      </c>
      <c r="S12" s="54" t="n">
        <v>204</v>
      </c>
      <c r="T12" s="54" t="n">
        <v>170</v>
      </c>
      <c r="U12" s="54" t="n">
        <v>184</v>
      </c>
      <c r="V12" s="54" t="n">
        <v>196</v>
      </c>
      <c r="W12" s="54" t="n">
        <v>217</v>
      </c>
      <c r="X12" s="1" t="n">
        <f aca="false">335-118</f>
        <v>217</v>
      </c>
      <c r="Y12" s="1" t="n">
        <f aca="false">286-97</f>
        <v>189</v>
      </c>
    </row>
    <row r="13" customFormat="false" ht="20.05" hidden="false" customHeight="true" outlineLevel="0" collapsed="false">
      <c r="A13" s="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customFormat="false" ht="20.05" hidden="false" customHeight="true" outlineLevel="0" collapsed="false">
      <c r="A14" s="3"/>
      <c r="B14" s="42" t="s">
        <v>62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9"/>
    </row>
    <row r="15" customFormat="false" ht="20.05" hidden="false" customHeight="true" outlineLevel="0" collapsed="false">
      <c r="A15" s="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false" ht="44.05" hidden="false" customHeight="true" outlineLevel="0" collapsed="false">
      <c r="A16" s="5" t="s">
        <v>60</v>
      </c>
      <c r="B16" s="55" t="n">
        <v>0.0361825021528136</v>
      </c>
      <c r="C16" s="55" t="n">
        <v>0.0611612356418828</v>
      </c>
      <c r="D16" s="55" t="n">
        <v>0.0892346800161272</v>
      </c>
      <c r="E16" s="55" t="n">
        <v>0.0709489048868027</v>
      </c>
      <c r="F16" s="55" t="n">
        <v>0.0388657895564832</v>
      </c>
      <c r="G16" s="55" t="n">
        <v>0.052687780170564</v>
      </c>
      <c r="H16" s="55" t="n">
        <v>0.0697280827901051</v>
      </c>
      <c r="I16" s="55" t="n">
        <v>0.0450729368530582</v>
      </c>
      <c r="J16" s="55" t="n">
        <v>0.0414379979811407</v>
      </c>
      <c r="K16" s="55" t="n">
        <v>0.0309783073370262</v>
      </c>
      <c r="L16" s="55" t="n">
        <v>0.0240202129405603</v>
      </c>
      <c r="M16" s="55" t="n">
        <v>0.0239580720049586</v>
      </c>
      <c r="N16" s="55" t="n">
        <v>0.0376262385959147</v>
      </c>
      <c r="O16" s="55" t="n">
        <v>0.030810649235325</v>
      </c>
      <c r="P16" s="55" t="n">
        <v>0.0205579080464646</v>
      </c>
      <c r="Q16" s="55" t="n">
        <v>0.0239992637025896</v>
      </c>
      <c r="R16" s="55" t="n">
        <v>0.0171562888504161</v>
      </c>
      <c r="S16" s="55" t="n">
        <v>0.0343753114725488</v>
      </c>
      <c r="T16" s="55" t="n">
        <v>0.0172662898034167</v>
      </c>
      <c r="U16" s="55" t="n">
        <v>0.0242696642614389</v>
      </c>
      <c r="V16" s="55" t="n">
        <v>0.0277930663768776</v>
      </c>
      <c r="W16" s="55" t="n">
        <v>0.0208095345957992</v>
      </c>
      <c r="X16" s="56" t="n">
        <f aca="false">X6/X34*100000</f>
        <v>0.0346668668661588</v>
      </c>
      <c r="Y16" s="56" t="n">
        <f aca="false">Y6/Y34*100000</f>
        <v>0.0313532659004012</v>
      </c>
    </row>
    <row r="17" customFormat="false" ht="56.05" hidden="false" customHeight="true" outlineLevel="0" collapsed="false">
      <c r="A17" s="5" t="s">
        <v>61</v>
      </c>
      <c r="B17" s="55" t="n">
        <v>0</v>
      </c>
      <c r="C17" s="55" t="n">
        <v>0</v>
      </c>
      <c r="D17" s="55" t="n">
        <v>0.00356938720064509</v>
      </c>
      <c r="E17" s="55" t="n">
        <v>0.00354744524434014</v>
      </c>
      <c r="F17" s="55" t="n">
        <v>0</v>
      </c>
      <c r="G17" s="55" t="n">
        <v>0.00702503735607521</v>
      </c>
      <c r="H17" s="55" t="n">
        <v>0.00697280827901051</v>
      </c>
      <c r="I17" s="55" t="n">
        <v>0.0104014469660903</v>
      </c>
      <c r="J17" s="55" t="n">
        <v>0.00690633299685679</v>
      </c>
      <c r="K17" s="55" t="n">
        <v>0.00344203414855847</v>
      </c>
      <c r="L17" s="55" t="n">
        <v>0.00343145899150861</v>
      </c>
      <c r="M17" s="55" t="n">
        <v>0.00342258171499409</v>
      </c>
      <c r="N17" s="55" t="n">
        <v>0</v>
      </c>
      <c r="O17" s="55" t="n">
        <v>0.00342340547059167</v>
      </c>
      <c r="P17" s="55" t="n">
        <v>0.0034263180077441</v>
      </c>
      <c r="Q17" s="55" t="n">
        <v>0.00342846624322709</v>
      </c>
      <c r="R17" s="55" t="n">
        <v>0</v>
      </c>
      <c r="S17" s="55" t="n">
        <v>0.00343753114725488</v>
      </c>
      <c r="T17" s="55" t="n">
        <v>0</v>
      </c>
      <c r="U17" s="55" t="n">
        <v>0.00346709489449127</v>
      </c>
      <c r="V17" s="55"/>
      <c r="W17" s="55" t="n">
        <v>0</v>
      </c>
      <c r="X17" s="56"/>
      <c r="Y17" s="56"/>
    </row>
    <row r="18" customFormat="false" ht="20.05" hidden="false" customHeight="true" outlineLevel="0" collapsed="false">
      <c r="A18" s="5" t="s">
        <v>10</v>
      </c>
      <c r="B18" s="55" t="n">
        <v>0.0976927558125969</v>
      </c>
      <c r="C18" s="55" t="n">
        <v>0.107931592309205</v>
      </c>
      <c r="D18" s="55" t="n">
        <v>0.0892346800161272</v>
      </c>
      <c r="E18" s="55" t="n">
        <v>0.124160583551905</v>
      </c>
      <c r="F18" s="55" t="n">
        <v>0.155463158225933</v>
      </c>
      <c r="G18" s="55" t="n">
        <v>0.165088377867767</v>
      </c>
      <c r="H18" s="55" t="n">
        <v>0.142942569719715</v>
      </c>
      <c r="I18" s="55" t="n">
        <v>0.121350214604387</v>
      </c>
      <c r="J18" s="55" t="n">
        <v>0.155392492429278</v>
      </c>
      <c r="K18" s="55" t="n">
        <v>0.168659673279365</v>
      </c>
      <c r="L18" s="55" t="n">
        <v>0.130395441677327</v>
      </c>
      <c r="M18" s="55" t="n">
        <v>0.119790360024793</v>
      </c>
      <c r="N18" s="55" t="n">
        <v>0.181290058689407</v>
      </c>
      <c r="O18" s="55" t="n">
        <v>0.130089407882484</v>
      </c>
      <c r="P18" s="55" t="n">
        <v>0.113068494255555</v>
      </c>
      <c r="Q18" s="55" t="n">
        <v>0.0994255210535855</v>
      </c>
      <c r="R18" s="55" t="n">
        <v>0.116662764182829</v>
      </c>
      <c r="S18" s="55" t="n">
        <v>0.158126432773724</v>
      </c>
      <c r="T18" s="55" t="n">
        <v>0.13467706046665</v>
      </c>
      <c r="U18" s="55" t="n">
        <v>0.10747994172923</v>
      </c>
      <c r="V18" s="55" t="n">
        <v>0.093801599021962</v>
      </c>
      <c r="W18" s="55" t="n">
        <v>0.138730230638662</v>
      </c>
      <c r="X18" s="1" t="n">
        <f aca="false">X8/X34*100000</f>
        <v>0.162934274270946</v>
      </c>
      <c r="Y18" s="1" t="n">
        <f aca="false">Y8/Y34*100000</f>
        <v>0.118445671179293</v>
      </c>
    </row>
    <row r="19" customFormat="false" ht="20.05" hidden="false" customHeight="true" outlineLevel="0" collapsed="false">
      <c r="A19" s="5" t="s">
        <v>11</v>
      </c>
      <c r="B19" s="55" t="n">
        <v>0</v>
      </c>
      <c r="C19" s="55" t="n">
        <v>0</v>
      </c>
      <c r="D19" s="55" t="n">
        <v>0.0285550976051607</v>
      </c>
      <c r="E19" s="55" t="n">
        <v>0.053211678665102</v>
      </c>
      <c r="F19" s="55" t="n">
        <v>0.0247327751723075</v>
      </c>
      <c r="G19" s="55" t="n">
        <v>0.0632253362046769</v>
      </c>
      <c r="H19" s="55" t="n">
        <v>0.0836736993481261</v>
      </c>
      <c r="I19" s="55" t="n">
        <v>0.131751661570478</v>
      </c>
      <c r="J19" s="55" t="n">
        <v>0.096688661955995</v>
      </c>
      <c r="K19" s="55" t="n">
        <v>0.154891536685131</v>
      </c>
      <c r="L19" s="55" t="n">
        <v>0.109806687728276</v>
      </c>
      <c r="M19" s="55" t="n">
        <v>0.106100033164817</v>
      </c>
      <c r="N19" s="55" t="n">
        <v>0.126560984368077</v>
      </c>
      <c r="O19" s="55" t="n">
        <v>0.147206435235442</v>
      </c>
      <c r="P19" s="55" t="n">
        <v>0.0685263601548819</v>
      </c>
      <c r="Q19" s="55" t="n">
        <v>0.0719977911077688</v>
      </c>
      <c r="R19" s="55" t="n">
        <v>0.0789189287119141</v>
      </c>
      <c r="S19" s="55" t="n">
        <v>0.0550004983560781</v>
      </c>
      <c r="T19" s="55" t="n">
        <v>0.079424933095717</v>
      </c>
      <c r="U19" s="55" t="n">
        <v>0.0970786570457557</v>
      </c>
      <c r="V19" s="55" t="n">
        <v>0.0694826659421941</v>
      </c>
      <c r="W19" s="55" t="n">
        <v>0.121388951808829</v>
      </c>
    </row>
    <row r="20" customFormat="false" ht="44.05" hidden="false" customHeight="true" outlineLevel="0" collapsed="false">
      <c r="A20" s="5" t="s">
        <v>12</v>
      </c>
      <c r="B20" s="55" t="n">
        <v>0.785160296716056</v>
      </c>
      <c r="C20" s="55" t="n">
        <v>0.827475541037237</v>
      </c>
      <c r="D20" s="55" t="n">
        <v>0.746001924934823</v>
      </c>
      <c r="E20" s="55" t="n">
        <v>0.645635034469905</v>
      </c>
      <c r="F20" s="55" t="n">
        <v>0.614786125711644</v>
      </c>
      <c r="G20" s="55" t="n">
        <v>0.709528772963596</v>
      </c>
      <c r="H20" s="55" t="n">
        <v>0.658930382366493</v>
      </c>
      <c r="I20" s="55" t="n">
        <v>0.613685370999331</v>
      </c>
      <c r="J20" s="55" t="n">
        <v>0.504162308770546</v>
      </c>
      <c r="K20" s="55" t="n">
        <v>0.485326814946744</v>
      </c>
      <c r="L20" s="55" t="n">
        <v>0.42206945595556</v>
      </c>
      <c r="M20" s="55" t="n">
        <v>0.373061406934356</v>
      </c>
      <c r="N20" s="55" t="n">
        <v>0.383103520249313</v>
      </c>
      <c r="O20" s="55" t="n">
        <v>0.403961845529817</v>
      </c>
      <c r="P20" s="55" t="n">
        <v>0.332352846751177</v>
      </c>
      <c r="Q20" s="55" t="n">
        <v>0.257134968242031</v>
      </c>
      <c r="R20" s="55" t="n">
        <v>0.274500621606658</v>
      </c>
      <c r="S20" s="55" t="n">
        <v>0.302502740958429</v>
      </c>
      <c r="T20" s="55" t="n">
        <v>0.265900862972618</v>
      </c>
      <c r="U20" s="55" t="n">
        <v>0.273900496664811</v>
      </c>
      <c r="V20" s="55" t="n">
        <v>0.371732262790738</v>
      </c>
      <c r="W20" s="55" t="n">
        <v>0.367635111192453</v>
      </c>
    </row>
    <row r="21" customFormat="false" ht="32.05" hidden="false" customHeight="true" outlineLevel="0" collapsed="false">
      <c r="A21" s="5" t="s">
        <v>13</v>
      </c>
      <c r="B21" s="55" t="n">
        <v>0.727268293271554</v>
      </c>
      <c r="C21" s="55" t="n">
        <v>0.88863677667912</v>
      </c>
      <c r="D21" s="55" t="n">
        <v>0.917332510565788</v>
      </c>
      <c r="E21" s="55" t="n">
        <v>0.762700727533129</v>
      </c>
      <c r="F21" s="55" t="n">
        <v>0.717250479996918</v>
      </c>
      <c r="G21" s="55" t="n">
        <v>0.695478698251445</v>
      </c>
      <c r="H21" s="55" t="n">
        <v>0.655443978226988</v>
      </c>
      <c r="I21" s="55" t="n">
        <v>0.523539497293214</v>
      </c>
      <c r="J21" s="55" t="n">
        <v>0.47308381028469</v>
      </c>
      <c r="K21" s="55" t="n">
        <v>0.468116644203952</v>
      </c>
      <c r="L21" s="55" t="n">
        <v>0.573053651581939</v>
      </c>
      <c r="M21" s="55" t="n">
        <v>0.479161440099173</v>
      </c>
      <c r="N21" s="55" t="n">
        <v>0.393365221684562</v>
      </c>
      <c r="O21" s="55" t="n">
        <v>0.407385251000409</v>
      </c>
      <c r="P21" s="55" t="n">
        <v>0.322073892727945</v>
      </c>
      <c r="Q21" s="55" t="n">
        <v>0.346275090565936</v>
      </c>
      <c r="R21" s="55" t="n">
        <v>0.240188043905825</v>
      </c>
      <c r="S21" s="55" t="n">
        <v>0.14781383933196</v>
      </c>
      <c r="T21" s="55" t="n">
        <v>0.089784706977767</v>
      </c>
      <c r="U21" s="55" t="n">
        <v>0.131749605990668</v>
      </c>
      <c r="V21" s="55" t="n">
        <v>0.11812053210173</v>
      </c>
      <c r="W21" s="55" t="n">
        <v>0.104047672978996</v>
      </c>
    </row>
    <row r="22" customFormat="false" ht="20.05" hidden="false" customHeight="true" outlineLevel="0" collapsed="false">
      <c r="A22" s="5" t="s">
        <v>14</v>
      </c>
      <c r="B22" s="55" t="n">
        <v>1.64630384795302</v>
      </c>
      <c r="C22" s="55" t="n">
        <v>1.88520514566745</v>
      </c>
      <c r="D22" s="55" t="n">
        <v>1.87392828033867</v>
      </c>
      <c r="E22" s="55" t="n">
        <v>1.66020437435118</v>
      </c>
      <c r="F22" s="55" t="n">
        <v>1.55109832866328</v>
      </c>
      <c r="G22" s="55" t="n">
        <v>1.69303400281412</v>
      </c>
      <c r="H22" s="55" t="n">
        <v>1.61769152073044</v>
      </c>
      <c r="I22" s="55" t="n">
        <v>1.44580112828656</v>
      </c>
      <c r="J22" s="55" t="n">
        <v>1.27767160441851</v>
      </c>
      <c r="K22" s="55" t="n">
        <v>1.31141501060078</v>
      </c>
      <c r="L22" s="55" t="n">
        <v>1.26277690887517</v>
      </c>
      <c r="M22" s="55" t="n">
        <v>1.10549389394309</v>
      </c>
      <c r="N22" s="55" t="n">
        <v>1.12194602358727</v>
      </c>
      <c r="O22" s="55" t="n">
        <v>1.12287699435407</v>
      </c>
      <c r="P22" s="55" t="n">
        <v>0.860005819943768</v>
      </c>
      <c r="Q22" s="55" t="n">
        <v>0.802261100915138</v>
      </c>
      <c r="R22" s="55" t="n">
        <v>0.727426647257643</v>
      </c>
      <c r="S22" s="55" t="n">
        <v>0.701256354039995</v>
      </c>
      <c r="T22" s="55" t="n">
        <v>0.587053853316169</v>
      </c>
      <c r="U22" s="55" t="n">
        <v>0.637945460586395</v>
      </c>
      <c r="V22" s="55" t="n">
        <v>0.680930126233502</v>
      </c>
      <c r="W22" s="55" t="n">
        <v>0.752611501214739</v>
      </c>
    </row>
    <row r="23" customFormat="false" ht="20.05" hidden="false" customHeight="true" outlineLevel="0" collapsed="false">
      <c r="A23" s="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customFormat="false" ht="20.05" hidden="false" customHeight="true" outlineLevel="0" collapsed="false">
      <c r="A24" s="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customFormat="false" ht="20.05" hidden="false" customHeight="true" outlineLevel="0" collapsed="false">
      <c r="A25" s="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customFormat="false" ht="44.05" hidden="false" customHeight="true" outlineLevel="0" collapsed="false">
      <c r="A26" s="5" t="s">
        <v>60</v>
      </c>
      <c r="B26" s="57" t="n">
        <v>2.1978021978022</v>
      </c>
      <c r="C26" s="57" t="n">
        <v>3.24427480916031</v>
      </c>
      <c r="D26" s="57" t="n">
        <v>4.76190476190476</v>
      </c>
      <c r="E26" s="57" t="n">
        <v>4.27350427350427</v>
      </c>
      <c r="F26" s="57" t="n">
        <v>2.50569476082005</v>
      </c>
      <c r="G26" s="57" t="n">
        <v>3.11203319502075</v>
      </c>
      <c r="H26" s="57" t="n">
        <v>4.31034482758621</v>
      </c>
      <c r="I26" s="57" t="n">
        <v>3.11750599520384</v>
      </c>
      <c r="J26" s="57" t="n">
        <v>3.24324324324324</v>
      </c>
      <c r="K26" s="57" t="n">
        <v>2.36220472440945</v>
      </c>
      <c r="L26" s="57" t="n">
        <v>1.90217391304348</v>
      </c>
      <c r="M26" s="57" t="n">
        <v>2.1671826625387</v>
      </c>
      <c r="N26" s="57" t="n">
        <v>3.35365853658537</v>
      </c>
      <c r="O26" s="57" t="n">
        <v>2.74390243902439</v>
      </c>
      <c r="P26" s="57" t="n">
        <v>2.39043824701195</v>
      </c>
      <c r="Q26" s="57" t="n">
        <v>2.99145299145299</v>
      </c>
      <c r="R26" s="57" t="n">
        <v>2.35849056603774</v>
      </c>
      <c r="S26" s="57" t="n">
        <v>4.90196078431373</v>
      </c>
      <c r="T26" s="58" t="n">
        <v>2.94117647058824</v>
      </c>
      <c r="U26" s="58" t="n">
        <v>3.80434782608696</v>
      </c>
      <c r="V26" s="58" t="n">
        <v>4.08163265306122</v>
      </c>
      <c r="W26" s="58" t="n">
        <v>2.9</v>
      </c>
    </row>
    <row r="27" customFormat="false" ht="56.05" hidden="false" customHeight="true" outlineLevel="0" collapsed="false">
      <c r="A27" s="5" t="s">
        <v>63</v>
      </c>
      <c r="B27" s="42" t="s">
        <v>19</v>
      </c>
      <c r="C27" s="42" t="s">
        <v>19</v>
      </c>
      <c r="D27" s="57" t="n">
        <v>0.19047619047619</v>
      </c>
      <c r="E27" s="57" t="n">
        <v>0.213675213675214</v>
      </c>
      <c r="F27" s="57" t="n">
        <v>0</v>
      </c>
      <c r="G27" s="57" t="n">
        <v>0.4149377593361</v>
      </c>
      <c r="H27" s="57" t="n">
        <v>0.431034482758621</v>
      </c>
      <c r="I27" s="57" t="n">
        <v>0.719424460431655</v>
      </c>
      <c r="J27" s="57" t="n">
        <v>0.540540540540541</v>
      </c>
      <c r="K27" s="57" t="n">
        <v>0.26246719160105</v>
      </c>
      <c r="L27" s="57" t="n">
        <v>0.271739130434783</v>
      </c>
      <c r="M27" s="57" t="n">
        <v>0.309597523219814</v>
      </c>
      <c r="N27" s="42" t="s">
        <v>19</v>
      </c>
      <c r="O27" s="57" t="n">
        <v>0.304878048780488</v>
      </c>
      <c r="P27" s="57" t="n">
        <v>0.398406374501992</v>
      </c>
      <c r="Q27" s="57" t="n">
        <v>0.427350427350427</v>
      </c>
      <c r="R27" s="57" t="n">
        <v>0</v>
      </c>
      <c r="S27" s="57" t="n">
        <v>0.490196078431373</v>
      </c>
      <c r="T27" s="58" t="n">
        <v>0</v>
      </c>
      <c r="U27" s="58" t="n">
        <v>0.543478260869565</v>
      </c>
      <c r="V27" s="58"/>
      <c r="W27" s="58" t="n">
        <v>0</v>
      </c>
    </row>
    <row r="28" customFormat="false" ht="20.05" hidden="false" customHeight="true" outlineLevel="0" collapsed="false">
      <c r="A28" s="5" t="s">
        <v>10</v>
      </c>
      <c r="B28" s="57" t="n">
        <v>5.93406593406593</v>
      </c>
      <c r="C28" s="57" t="n">
        <v>5.72519083969466</v>
      </c>
      <c r="D28" s="57" t="n">
        <v>4.76190476190476</v>
      </c>
      <c r="E28" s="57" t="n">
        <v>7.47863247863248</v>
      </c>
      <c r="F28" s="57" t="n">
        <v>10.0227790432802</v>
      </c>
      <c r="G28" s="57" t="n">
        <v>9.75103734439834</v>
      </c>
      <c r="H28" s="57" t="n">
        <v>8.83620689655172</v>
      </c>
      <c r="I28" s="57" t="n">
        <v>8.39328537170264</v>
      </c>
      <c r="J28" s="57" t="n">
        <v>12.1621621621622</v>
      </c>
      <c r="K28" s="57" t="n">
        <v>12.8608923884514</v>
      </c>
      <c r="L28" s="57" t="n">
        <v>10.3260869565217</v>
      </c>
      <c r="M28" s="57" t="n">
        <v>10.8359133126935</v>
      </c>
      <c r="N28" s="57" t="n">
        <v>16.1585365853659</v>
      </c>
      <c r="O28" s="57" t="n">
        <v>11.5853658536585</v>
      </c>
      <c r="P28" s="57" t="n">
        <v>13.1474103585657</v>
      </c>
      <c r="Q28" s="57" t="n">
        <v>12.3931623931624</v>
      </c>
      <c r="R28" s="57" t="n">
        <v>16.0377358490566</v>
      </c>
      <c r="S28" s="57" t="n">
        <v>22.5490196078431</v>
      </c>
      <c r="T28" s="58" t="n">
        <v>22.9411764705882</v>
      </c>
      <c r="U28" s="58" t="n">
        <v>16.8478260869565</v>
      </c>
      <c r="V28" s="58" t="n">
        <v>13.7755102040816</v>
      </c>
      <c r="W28" s="9" t="n">
        <v>18.4</v>
      </c>
    </row>
    <row r="29" customFormat="false" ht="20.05" hidden="false" customHeight="true" outlineLevel="0" collapsed="false">
      <c r="A29" s="5" t="s">
        <v>11</v>
      </c>
      <c r="B29" s="42" t="s">
        <v>19</v>
      </c>
      <c r="C29" s="42" t="s">
        <v>19</v>
      </c>
      <c r="D29" s="57" t="n">
        <v>1.52380952380952</v>
      </c>
      <c r="E29" s="57" t="n">
        <v>3.2051282051282</v>
      </c>
      <c r="F29" s="57" t="n">
        <v>1.59453302961276</v>
      </c>
      <c r="G29" s="57" t="n">
        <v>3.7344398340249</v>
      </c>
      <c r="H29" s="57" t="n">
        <v>5.17241379310345</v>
      </c>
      <c r="I29" s="57" t="n">
        <v>9.11270983213429</v>
      </c>
      <c r="J29" s="57" t="n">
        <v>7.56756756756757</v>
      </c>
      <c r="K29" s="57" t="n">
        <v>11.8110236220472</v>
      </c>
      <c r="L29" s="57" t="n">
        <v>8.69565217391304</v>
      </c>
      <c r="M29" s="57" t="n">
        <v>9.59752321981424</v>
      </c>
      <c r="N29" s="57" t="n">
        <v>11.280487804878</v>
      </c>
      <c r="O29" s="57" t="n">
        <v>13.109756097561</v>
      </c>
      <c r="P29" s="57" t="n">
        <v>7.96812749003984</v>
      </c>
      <c r="Q29" s="57" t="n">
        <v>8.97435897435897</v>
      </c>
      <c r="R29" s="57" t="n">
        <v>10.8490566037736</v>
      </c>
      <c r="S29" s="57" t="n">
        <v>7.84313725490196</v>
      </c>
      <c r="T29" s="58" t="n">
        <v>13.5294117647059</v>
      </c>
      <c r="U29" s="58" t="n">
        <v>15.2173913043478</v>
      </c>
      <c r="V29" s="58" t="n">
        <v>10.2040816326531</v>
      </c>
      <c r="W29" s="9" t="n">
        <v>16.1</v>
      </c>
    </row>
    <row r="30" customFormat="false" ht="44.05" hidden="false" customHeight="true" outlineLevel="0" collapsed="false">
      <c r="A30" s="5" t="s">
        <v>12</v>
      </c>
      <c r="B30" s="57" t="n">
        <v>47.6923076923077</v>
      </c>
      <c r="C30" s="57" t="n">
        <v>43.8931297709924</v>
      </c>
      <c r="D30" s="57" t="n">
        <v>39.8095238095238</v>
      </c>
      <c r="E30" s="57" t="n">
        <v>38.8888888888889</v>
      </c>
      <c r="F30" s="57" t="n">
        <v>39.6355353075171</v>
      </c>
      <c r="G30" s="57" t="n">
        <v>41.9087136929461</v>
      </c>
      <c r="H30" s="57" t="n">
        <v>40.7327586206897</v>
      </c>
      <c r="I30" s="57" t="n">
        <v>42.4460431654676</v>
      </c>
      <c r="J30" s="57" t="n">
        <v>39.4594594594595</v>
      </c>
      <c r="K30" s="57" t="n">
        <v>37.007874015748</v>
      </c>
      <c r="L30" s="57" t="n">
        <v>33.4239130434783</v>
      </c>
      <c r="M30" s="57" t="n">
        <v>33.7461300309598</v>
      </c>
      <c r="N30" s="57" t="n">
        <v>34.1463414634146</v>
      </c>
      <c r="O30" s="57" t="n">
        <v>35.9756097560976</v>
      </c>
      <c r="P30" s="57" t="n">
        <v>38.6454183266932</v>
      </c>
      <c r="Q30" s="57" t="n">
        <v>32.0512820512821</v>
      </c>
      <c r="R30" s="57" t="n">
        <v>37.7358490566038</v>
      </c>
      <c r="S30" s="57" t="n">
        <v>43.1372549019608</v>
      </c>
      <c r="T30" s="58" t="n">
        <v>45.2941176470588</v>
      </c>
      <c r="U30" s="58" t="n">
        <v>42.9347826086957</v>
      </c>
      <c r="V30" s="58" t="n">
        <v>54.5918367346939</v>
      </c>
      <c r="W30" s="9" t="n">
        <v>48.8</v>
      </c>
    </row>
    <row r="31" customFormat="false" ht="32.05" hidden="false" customHeight="true" outlineLevel="0" collapsed="false">
      <c r="A31" s="5" t="s">
        <v>13</v>
      </c>
      <c r="B31" s="57" t="n">
        <v>44.1758241758242</v>
      </c>
      <c r="C31" s="57" t="n">
        <v>47.1374045801527</v>
      </c>
      <c r="D31" s="57" t="n">
        <v>48.952380952381</v>
      </c>
      <c r="E31" s="57" t="n">
        <v>45.9401709401709</v>
      </c>
      <c r="F31" s="57" t="n">
        <v>46.2414578587699</v>
      </c>
      <c r="G31" s="57" t="n">
        <v>41.0788381742739</v>
      </c>
      <c r="H31" s="57" t="n">
        <v>40.5172413793103</v>
      </c>
      <c r="I31" s="57" t="n">
        <v>36.21103117506</v>
      </c>
      <c r="J31" s="57" t="n">
        <v>37.027027027027</v>
      </c>
      <c r="K31" s="57" t="n">
        <v>35.6955380577428</v>
      </c>
      <c r="L31" s="57" t="n">
        <v>45.3804347826087</v>
      </c>
      <c r="M31" s="57" t="n">
        <v>43.343653250774</v>
      </c>
      <c r="N31" s="57" t="n">
        <v>35.0609756097561</v>
      </c>
      <c r="O31" s="57" t="n">
        <v>36.280487804878</v>
      </c>
      <c r="P31" s="57" t="n">
        <v>37.4501992031873</v>
      </c>
      <c r="Q31" s="57" t="n">
        <v>43.1623931623932</v>
      </c>
      <c r="R31" s="57" t="n">
        <v>33.0188679245283</v>
      </c>
      <c r="S31" s="57" t="n">
        <v>21.078431372549</v>
      </c>
      <c r="T31" s="58" t="n">
        <v>15.2941176470588</v>
      </c>
      <c r="U31" s="58" t="n">
        <v>20.6521739130435</v>
      </c>
      <c r="V31" s="58" t="n">
        <v>17.3469387755102</v>
      </c>
      <c r="W31" s="58" t="n">
        <v>13.8</v>
      </c>
    </row>
    <row r="32" customFormat="false" ht="20.05" hidden="false" customHeight="true" outlineLevel="0" collapsed="false">
      <c r="A32" s="5" t="s">
        <v>14</v>
      </c>
      <c r="B32" s="57" t="n">
        <v>100</v>
      </c>
      <c r="C32" s="57" t="n">
        <v>100</v>
      </c>
      <c r="D32" s="57" t="n">
        <v>100</v>
      </c>
      <c r="E32" s="57" t="n">
        <v>100</v>
      </c>
      <c r="F32" s="57" t="n">
        <v>100</v>
      </c>
      <c r="G32" s="57" t="n">
        <v>100</v>
      </c>
      <c r="H32" s="57" t="n">
        <v>100</v>
      </c>
      <c r="I32" s="57" t="n">
        <v>100</v>
      </c>
      <c r="J32" s="57" t="n">
        <v>100</v>
      </c>
      <c r="K32" s="57" t="n">
        <v>100</v>
      </c>
      <c r="L32" s="57" t="n">
        <v>100</v>
      </c>
      <c r="M32" s="57" t="n">
        <v>100</v>
      </c>
      <c r="N32" s="57" t="n">
        <v>100</v>
      </c>
      <c r="O32" s="57" t="n">
        <v>100</v>
      </c>
      <c r="P32" s="57" t="n">
        <v>100</v>
      </c>
      <c r="Q32" s="57" t="n">
        <v>100</v>
      </c>
      <c r="R32" s="57" t="n">
        <v>100</v>
      </c>
      <c r="S32" s="57" t="n">
        <v>100</v>
      </c>
      <c r="T32" s="58" t="n">
        <v>100</v>
      </c>
      <c r="U32" s="58" t="n">
        <v>100</v>
      </c>
      <c r="V32" s="58" t="n">
        <v>100</v>
      </c>
      <c r="W32" s="58" t="n">
        <v>100</v>
      </c>
    </row>
    <row r="34" customFormat="false" ht="19.9" hidden="false" customHeight="true" outlineLevel="0" collapsed="false">
      <c r="A34" s="1" t="s">
        <v>64</v>
      </c>
      <c r="X34" s="1" t="n">
        <f aca="false">58989749*(1-0.511)</f>
        <v>28845987.261</v>
      </c>
      <c r="Y34" s="1" t="n">
        <f aca="false">(1-0.513)*58942800</f>
        <v>28705143.6</v>
      </c>
    </row>
    <row r="39" customFormat="false" ht="19.9" hidden="false" customHeight="true" outlineLevel="0" collapsed="false">
      <c r="B39" s="1" t="s">
        <v>65</v>
      </c>
    </row>
    <row r="40" customFormat="false" ht="19.9" hidden="false" customHeight="true" outlineLevel="0" collapsed="false">
      <c r="A40" s="1" t="s">
        <v>66</v>
      </c>
      <c r="B40" s="1" t="n">
        <f aca="false">B16+B17</f>
        <v>0.0361825021528136</v>
      </c>
      <c r="C40" s="1" t="n">
        <f aca="false">C16+C17</f>
        <v>0.0611612356418828</v>
      </c>
      <c r="D40" s="1" t="n">
        <f aca="false">D16+D17</f>
        <v>0.0928040672167723</v>
      </c>
      <c r="E40" s="1" t="n">
        <f aca="false">E16+E17</f>
        <v>0.0744963501311428</v>
      </c>
      <c r="F40" s="1" t="n">
        <f aca="false">F16+F17</f>
        <v>0.0388657895564832</v>
      </c>
      <c r="G40" s="1" t="n">
        <f aca="false">G16+G17</f>
        <v>0.0597128175266392</v>
      </c>
      <c r="H40" s="1" t="n">
        <f aca="false">H16+H17</f>
        <v>0.0767008910691156</v>
      </c>
      <c r="I40" s="1" t="n">
        <f aca="false">I16+I17</f>
        <v>0.0554743838191485</v>
      </c>
      <c r="J40" s="1" t="n">
        <f aca="false">J16+J17</f>
        <v>0.0483443309779975</v>
      </c>
      <c r="K40" s="1" t="n">
        <f aca="false">K16+K17</f>
        <v>0.0344203414855847</v>
      </c>
      <c r="L40" s="1" t="n">
        <f aca="false">L16+L17</f>
        <v>0.0274516719320689</v>
      </c>
      <c r="M40" s="1" t="n">
        <f aca="false">M16+M17</f>
        <v>0.0273806537199527</v>
      </c>
      <c r="N40" s="1" t="n">
        <f aca="false">N16+N17</f>
        <v>0.0376262385959147</v>
      </c>
      <c r="O40" s="1" t="n">
        <f aca="false">O16+O17</f>
        <v>0.0342340547059167</v>
      </c>
      <c r="P40" s="1" t="n">
        <f aca="false">P16+P17</f>
        <v>0.0239842260542087</v>
      </c>
      <c r="Q40" s="1" t="n">
        <f aca="false">Q16+Q17</f>
        <v>0.0274277299458167</v>
      </c>
      <c r="R40" s="1" t="n">
        <f aca="false">R16+R17</f>
        <v>0.0171562888504161</v>
      </c>
      <c r="S40" s="1" t="n">
        <f aca="false">S16+S17</f>
        <v>0.0378128426198037</v>
      </c>
      <c r="T40" s="1" t="n">
        <f aca="false">T16+T17</f>
        <v>0.0172662898034167</v>
      </c>
      <c r="U40" s="1" t="n">
        <f aca="false">U16+U17</f>
        <v>0.0277367591559302</v>
      </c>
      <c r="V40" s="1" t="n">
        <f aca="false">V16+V17</f>
        <v>0.0277930663768776</v>
      </c>
      <c r="W40" s="1" t="n">
        <f aca="false">W16+W17</f>
        <v>0.0208095345957992</v>
      </c>
      <c r="X40" s="1" t="n">
        <f aca="false">X16+X17</f>
        <v>0.0346668668661588</v>
      </c>
      <c r="Y40" s="1" t="n">
        <f aca="false">Y16+Y17</f>
        <v>0.0313532659004012</v>
      </c>
    </row>
    <row r="41" customFormat="false" ht="19.9" hidden="false" customHeight="true" outlineLevel="0" collapsed="false">
      <c r="A41" s="1" t="s">
        <v>67</v>
      </c>
      <c r="B41" s="1" t="n">
        <f aca="false">B16+B17+B18</f>
        <v>0.133875257965411</v>
      </c>
      <c r="C41" s="1" t="n">
        <f aca="false">C16+C17+C18</f>
        <v>0.169092827951088</v>
      </c>
      <c r="D41" s="1" t="n">
        <f aca="false">D16+D17+D18</f>
        <v>0.182038747232899</v>
      </c>
      <c r="E41" s="1" t="n">
        <f aca="false">E16+E17+E18</f>
        <v>0.198656933683048</v>
      </c>
      <c r="F41" s="1" t="n">
        <f aca="false">F16+F17+F18</f>
        <v>0.194328947782416</v>
      </c>
      <c r="G41" s="1" t="n">
        <f aca="false">G16+G17+G18</f>
        <v>0.224801195394406</v>
      </c>
      <c r="H41" s="1" t="n">
        <f aca="false">H16+H17+H18</f>
        <v>0.219643460788831</v>
      </c>
      <c r="I41" s="1" t="n">
        <f aca="false">I16+I17+I18</f>
        <v>0.176824598423535</v>
      </c>
      <c r="J41" s="1" t="n">
        <f aca="false">J16+J17+J18</f>
        <v>0.203736823407276</v>
      </c>
      <c r="K41" s="1" t="n">
        <f aca="false">K16+K17+K18</f>
        <v>0.20308001476495</v>
      </c>
      <c r="L41" s="1" t="n">
        <f aca="false">L16+L17+L18</f>
        <v>0.157847113609396</v>
      </c>
      <c r="M41" s="1" t="n">
        <f aca="false">M16+M17+M18</f>
        <v>0.147171013744746</v>
      </c>
      <c r="N41" s="1" t="n">
        <f aca="false">N16+N17+N18</f>
        <v>0.218916297285322</v>
      </c>
      <c r="O41" s="1" t="n">
        <f aca="false">O16+O17+O18</f>
        <v>0.164323462588401</v>
      </c>
      <c r="P41" s="1" t="n">
        <f aca="false">P16+P17+P18</f>
        <v>0.137052720309764</v>
      </c>
      <c r="Q41" s="1" t="n">
        <f aca="false">Q16+Q17+Q18</f>
        <v>0.126853250999402</v>
      </c>
      <c r="R41" s="1" t="n">
        <f aca="false">R16+R17+R18</f>
        <v>0.133819053033245</v>
      </c>
      <c r="S41" s="1" t="n">
        <f aca="false">S16+S17+S18</f>
        <v>0.195939275393528</v>
      </c>
      <c r="T41" s="1" t="n">
        <f aca="false">T16+T17+T18</f>
        <v>0.151943350270067</v>
      </c>
      <c r="U41" s="1" t="n">
        <f aca="false">U16+U17+U18</f>
        <v>0.13521670088516</v>
      </c>
      <c r="V41" s="1" t="n">
        <f aca="false">V16+V17+V18</f>
        <v>0.12159466539884</v>
      </c>
      <c r="W41" s="1" t="n">
        <f aca="false">W16+W17+W18</f>
        <v>0.159539765234461</v>
      </c>
      <c r="X41" s="1" t="n">
        <f aca="false">X16+X17+X18</f>
        <v>0.197601141137105</v>
      </c>
      <c r="Y41" s="1" t="n">
        <f aca="false">Y16+Y17+Y18</f>
        <v>0.149798937079695</v>
      </c>
    </row>
    <row r="42" customFormat="false" ht="19.9" hidden="false" customHeight="true" outlineLevel="0" collapsed="false">
      <c r="A42" s="1" t="s">
        <v>68</v>
      </c>
      <c r="B42" s="1" t="n">
        <v>2002</v>
      </c>
      <c r="C42" s="1" t="n">
        <v>2003</v>
      </c>
      <c r="D42" s="1" t="n">
        <v>2004</v>
      </c>
      <c r="E42" s="1" t="n">
        <v>2005</v>
      </c>
      <c r="F42" s="1" t="n">
        <v>2006</v>
      </c>
      <c r="G42" s="1" t="n">
        <v>2007</v>
      </c>
      <c r="H42" s="1" t="n">
        <v>2008</v>
      </c>
      <c r="I42" s="1" t="n">
        <v>2009</v>
      </c>
      <c r="J42" s="1" t="n">
        <v>2010</v>
      </c>
      <c r="K42" s="1" t="n">
        <v>2011</v>
      </c>
      <c r="L42" s="1" t="n">
        <v>2012</v>
      </c>
      <c r="M42" s="1" t="n">
        <v>2013</v>
      </c>
      <c r="N42" s="1" t="n">
        <v>2014</v>
      </c>
      <c r="O42" s="1" t="n">
        <v>2015</v>
      </c>
      <c r="P42" s="1" t="n">
        <v>2016</v>
      </c>
      <c r="Q42" s="1" t="n">
        <v>2017</v>
      </c>
      <c r="R42" s="1" t="n">
        <v>2018</v>
      </c>
      <c r="S42" s="1" t="n">
        <v>2019</v>
      </c>
      <c r="T42" s="1" t="n">
        <v>2020</v>
      </c>
      <c r="U42" s="1" t="n">
        <v>2021</v>
      </c>
      <c r="V42" s="1" t="n">
        <v>2022</v>
      </c>
      <c r="W42" s="1" t="n">
        <v>2023</v>
      </c>
      <c r="X42" s="1" t="n">
        <v>2024</v>
      </c>
      <c r="Y42" s="1" t="n">
        <v>2025</v>
      </c>
    </row>
  </sheetData>
  <mergeCells count="10">
    <mergeCell ref="A1:W1"/>
    <mergeCell ref="B4:V4"/>
    <mergeCell ref="V6:V7"/>
    <mergeCell ref="X6:X7"/>
    <mergeCell ref="Y6:Y7"/>
    <mergeCell ref="B14:V14"/>
    <mergeCell ref="V16:V17"/>
    <mergeCell ref="X16:X17"/>
    <mergeCell ref="Y16:Y17"/>
    <mergeCell ref="V26:V27"/>
  </mergeCell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5"/>
  <sheetViews>
    <sheetView showFormulas="false" showGridLines="false" showRowColHeaders="true" showZeros="true" rightToLeft="false" tabSelected="true" showOutlineSymbols="true" defaultGridColor="true" view="normal" topLeftCell="A25" colorId="64" zoomScale="32" zoomScaleNormal="32" zoomScalePageLayoutView="100" workbookViewId="0">
      <selection pane="topLeft" activeCell="G62" activeCellId="0" sqref="G62"/>
    </sheetView>
  </sheetViews>
  <sheetFormatPr defaultColWidth="16.35546875" defaultRowHeight="19.9" customHeight="true" zeroHeight="false" outlineLevelRow="0" outlineLevelCol="0"/>
  <cols>
    <col collapsed="false" customWidth="false" hidden="false" outlineLevel="0" max="16384" min="1" style="1" width="16.35"/>
  </cols>
  <sheetData>
    <row r="1" customFormat="false" ht="27.6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44.05" hidden="false" customHeight="true" outlineLevel="0" collapsed="false">
      <c r="A2" s="5" t="s">
        <v>4</v>
      </c>
      <c r="B2" s="53" t="n">
        <v>2002</v>
      </c>
      <c r="C2" s="53" t="n">
        <v>2003</v>
      </c>
      <c r="D2" s="53" t="n">
        <v>2004</v>
      </c>
      <c r="E2" s="53" t="n">
        <v>2005</v>
      </c>
      <c r="F2" s="53" t="n">
        <v>2006</v>
      </c>
      <c r="G2" s="53" t="n">
        <v>2007</v>
      </c>
      <c r="H2" s="53" t="n">
        <v>2008</v>
      </c>
      <c r="I2" s="53" t="n">
        <v>2009</v>
      </c>
      <c r="J2" s="53" t="n">
        <v>2010</v>
      </c>
      <c r="K2" s="53" t="n">
        <v>2011</v>
      </c>
      <c r="L2" s="53" t="n">
        <v>2012</v>
      </c>
      <c r="M2" s="53" t="n">
        <v>2013</v>
      </c>
      <c r="N2" s="53" t="n">
        <v>2014</v>
      </c>
      <c r="O2" s="53" t="n">
        <v>2015</v>
      </c>
      <c r="P2" s="53" t="n">
        <v>2016</v>
      </c>
      <c r="Q2" s="53" t="n">
        <v>2017</v>
      </c>
      <c r="R2" s="53" t="n">
        <v>2018</v>
      </c>
      <c r="S2" s="53" t="n">
        <v>2019</v>
      </c>
      <c r="T2" s="53" t="n">
        <v>2020</v>
      </c>
      <c r="U2" s="53" t="n">
        <v>2021</v>
      </c>
      <c r="V2" s="42" t="s">
        <v>5</v>
      </c>
      <c r="W2" s="9" t="n">
        <v>2023</v>
      </c>
      <c r="X2" s="1" t="n">
        <v>2024</v>
      </c>
      <c r="Y2" s="1" t="n">
        <v>2025</v>
      </c>
    </row>
    <row r="3" customFormat="false" ht="20.05" hidden="false" customHeight="true" outlineLevel="0" collapsed="false">
      <c r="A3" s="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customFormat="false" ht="20.05" hidden="false" customHeight="true" outlineLevel="0" collapsed="false">
      <c r="A4" s="3"/>
      <c r="B4" s="42" t="s">
        <v>6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9"/>
    </row>
    <row r="5" customFormat="false" ht="20.05" hidden="false" customHeight="true" outlineLevel="0" collapsed="false">
      <c r="A5" s="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9"/>
    </row>
    <row r="6" customFormat="false" ht="44.05" hidden="false" customHeight="true" outlineLevel="0" collapsed="false">
      <c r="A6" s="5" t="s">
        <v>69</v>
      </c>
      <c r="B6" s="54" t="n">
        <v>72</v>
      </c>
      <c r="C6" s="54" t="n">
        <v>79</v>
      </c>
      <c r="D6" s="54" t="n">
        <v>68</v>
      </c>
      <c r="E6" s="54" t="n">
        <v>51</v>
      </c>
      <c r="F6" s="54" t="n">
        <v>90</v>
      </c>
      <c r="G6" s="54" t="n">
        <v>62</v>
      </c>
      <c r="H6" s="54" t="n">
        <v>58</v>
      </c>
      <c r="I6" s="54" t="n">
        <v>72</v>
      </c>
      <c r="J6" s="54" t="n">
        <v>45</v>
      </c>
      <c r="K6" s="54" t="n">
        <v>69</v>
      </c>
      <c r="L6" s="54" t="n">
        <v>57</v>
      </c>
      <c r="M6" s="54" t="n">
        <v>60</v>
      </c>
      <c r="N6" s="54" t="n">
        <v>69</v>
      </c>
      <c r="O6" s="54" t="n">
        <v>61</v>
      </c>
      <c r="P6" s="54" t="n">
        <v>59</v>
      </c>
      <c r="Q6" s="54" t="n">
        <v>44</v>
      </c>
      <c r="R6" s="54" t="n">
        <v>63</v>
      </c>
      <c r="S6" s="54" t="n">
        <v>55</v>
      </c>
      <c r="T6" s="54" t="n">
        <v>60</v>
      </c>
      <c r="U6" s="54" t="n">
        <v>54</v>
      </c>
      <c r="V6" s="54" t="n">
        <v>61</v>
      </c>
      <c r="W6" s="54" t="n">
        <v>48</v>
      </c>
      <c r="X6" s="1" t="n">
        <v>62</v>
      </c>
      <c r="Y6" s="1" t="n">
        <v>62</v>
      </c>
    </row>
    <row r="7" customFormat="false" ht="56.05" hidden="false" customHeight="true" outlineLevel="0" collapsed="false">
      <c r="A7" s="5" t="s">
        <v>70</v>
      </c>
      <c r="B7" s="54" t="n">
        <v>0</v>
      </c>
      <c r="C7" s="54" t="n">
        <v>0</v>
      </c>
      <c r="D7" s="54" t="n">
        <v>4</v>
      </c>
      <c r="E7" s="54" t="n">
        <v>3</v>
      </c>
      <c r="F7" s="54" t="n">
        <v>1</v>
      </c>
      <c r="G7" s="54" t="n">
        <v>2</v>
      </c>
      <c r="H7" s="54" t="n">
        <v>8</v>
      </c>
      <c r="I7" s="54" t="n">
        <v>11</v>
      </c>
      <c r="J7" s="54" t="n">
        <v>17</v>
      </c>
      <c r="K7" s="54" t="n">
        <v>13</v>
      </c>
      <c r="L7" s="54" t="n">
        <v>17</v>
      </c>
      <c r="M7" s="54" t="n">
        <v>16</v>
      </c>
      <c r="N7" s="54" t="n">
        <v>12</v>
      </c>
      <c r="O7" s="54" t="n">
        <v>9</v>
      </c>
      <c r="P7" s="54" t="n">
        <v>17</v>
      </c>
      <c r="Q7" s="54" t="n">
        <v>10</v>
      </c>
      <c r="R7" s="54" t="n">
        <v>10</v>
      </c>
      <c r="S7" s="54" t="n">
        <v>13</v>
      </c>
      <c r="T7" s="54" t="n">
        <v>7</v>
      </c>
      <c r="U7" s="54" t="n">
        <v>16</v>
      </c>
      <c r="V7" s="54"/>
      <c r="W7" s="54" t="n">
        <v>15</v>
      </c>
    </row>
    <row r="8" customFormat="false" ht="20.05" hidden="false" customHeight="true" outlineLevel="0" collapsed="false">
      <c r="A8" s="5" t="s">
        <v>10</v>
      </c>
      <c r="B8" s="54" t="n">
        <v>26</v>
      </c>
      <c r="C8" s="54" t="n">
        <v>24</v>
      </c>
      <c r="D8" s="54" t="n">
        <v>40</v>
      </c>
      <c r="E8" s="54" t="n">
        <v>24</v>
      </c>
      <c r="F8" s="54" t="n">
        <v>30</v>
      </c>
      <c r="G8" s="54" t="n">
        <v>33</v>
      </c>
      <c r="H8" s="54" t="n">
        <v>40</v>
      </c>
      <c r="I8" s="54" t="n">
        <v>37</v>
      </c>
      <c r="J8" s="54" t="n">
        <v>37</v>
      </c>
      <c r="K8" s="54" t="n">
        <v>30</v>
      </c>
      <c r="L8" s="54" t="n">
        <v>32</v>
      </c>
      <c r="M8" s="54" t="n">
        <v>41</v>
      </c>
      <c r="N8" s="54" t="n">
        <v>33</v>
      </c>
      <c r="O8" s="54" t="n">
        <v>36</v>
      </c>
      <c r="P8" s="54" t="n">
        <v>33</v>
      </c>
      <c r="Q8" s="54" t="n">
        <v>35</v>
      </c>
      <c r="R8" s="54" t="n">
        <v>33</v>
      </c>
      <c r="S8" s="54" t="n">
        <v>25</v>
      </c>
      <c r="T8" s="54" t="n">
        <v>30</v>
      </c>
      <c r="U8" s="54" t="n">
        <v>30</v>
      </c>
      <c r="V8" s="54" t="n">
        <v>43</v>
      </c>
      <c r="W8" s="54" t="n">
        <v>31</v>
      </c>
      <c r="X8" s="1" t="n">
        <f aca="false">101-62</f>
        <v>39</v>
      </c>
      <c r="Y8" s="1" t="n">
        <f aca="false">85-62</f>
        <v>23</v>
      </c>
    </row>
    <row r="9" customFormat="false" ht="20.05" hidden="false" customHeight="true" outlineLevel="0" collapsed="false">
      <c r="A9" s="5" t="s">
        <v>11</v>
      </c>
      <c r="B9" s="54" t="n">
        <v>0</v>
      </c>
      <c r="C9" s="54" t="n">
        <v>0</v>
      </c>
      <c r="D9" s="54" t="n">
        <v>7</v>
      </c>
      <c r="E9" s="54" t="n">
        <v>9</v>
      </c>
      <c r="F9" s="54" t="n">
        <v>9</v>
      </c>
      <c r="G9" s="54" t="n">
        <v>5</v>
      </c>
      <c r="H9" s="54" t="n">
        <v>5</v>
      </c>
      <c r="I9" s="54" t="n">
        <v>17</v>
      </c>
      <c r="J9" s="54" t="n">
        <v>27</v>
      </c>
      <c r="K9" s="54" t="n">
        <v>23</v>
      </c>
      <c r="L9" s="54" t="n">
        <v>16</v>
      </c>
      <c r="M9" s="54" t="n">
        <v>21</v>
      </c>
      <c r="N9" s="54" t="n">
        <v>13</v>
      </c>
      <c r="O9" s="54" t="n">
        <v>11</v>
      </c>
      <c r="P9" s="54" t="n">
        <v>9</v>
      </c>
      <c r="Q9" s="54" t="n">
        <v>10</v>
      </c>
      <c r="R9" s="54" t="n">
        <v>2</v>
      </c>
      <c r="S9" s="54" t="n">
        <v>5</v>
      </c>
      <c r="T9" s="54" t="n">
        <v>10</v>
      </c>
      <c r="U9" s="54" t="n">
        <v>6</v>
      </c>
      <c r="V9" s="54" t="n">
        <v>3</v>
      </c>
      <c r="W9" s="54" t="n">
        <v>9</v>
      </c>
    </row>
    <row r="10" customFormat="false" ht="44.05" hidden="false" customHeight="true" outlineLevel="0" collapsed="false">
      <c r="A10" s="5" t="s">
        <v>12</v>
      </c>
      <c r="B10" s="54" t="n">
        <v>72</v>
      </c>
      <c r="C10" s="54" t="n">
        <v>68</v>
      </c>
      <c r="D10" s="54" t="n">
        <v>43</v>
      </c>
      <c r="E10" s="54" t="n">
        <v>30</v>
      </c>
      <c r="F10" s="54" t="n">
        <v>34</v>
      </c>
      <c r="G10" s="54" t="n">
        <v>32</v>
      </c>
      <c r="H10" s="54" t="n">
        <v>23</v>
      </c>
      <c r="I10" s="54" t="n">
        <v>18</v>
      </c>
      <c r="J10" s="54" t="n">
        <v>21</v>
      </c>
      <c r="K10" s="54" t="n">
        <v>20</v>
      </c>
      <c r="L10" s="54" t="n">
        <v>24</v>
      </c>
      <c r="M10" s="54" t="n">
        <v>21</v>
      </c>
      <c r="N10" s="54" t="n">
        <v>11</v>
      </c>
      <c r="O10" s="54" t="n">
        <v>18</v>
      </c>
      <c r="P10" s="54" t="n">
        <v>21</v>
      </c>
      <c r="Q10" s="54" t="n">
        <v>8</v>
      </c>
      <c r="R10" s="54" t="n">
        <v>16</v>
      </c>
      <c r="S10" s="54" t="n">
        <v>12</v>
      </c>
      <c r="T10" s="54" t="n">
        <v>9</v>
      </c>
      <c r="U10" s="54" t="n">
        <v>13</v>
      </c>
      <c r="V10" s="54" t="n">
        <v>16</v>
      </c>
      <c r="W10" s="54" t="n">
        <v>9</v>
      </c>
    </row>
    <row r="11" customFormat="false" ht="32.05" hidden="false" customHeight="true" outlineLevel="0" collapsed="false">
      <c r="A11" s="5" t="s">
        <v>13</v>
      </c>
      <c r="B11" s="54" t="n">
        <v>17</v>
      </c>
      <c r="C11" s="54" t="n">
        <v>21</v>
      </c>
      <c r="D11" s="54" t="n">
        <v>24</v>
      </c>
      <c r="E11" s="54" t="n">
        <v>15</v>
      </c>
      <c r="F11" s="54" t="n">
        <v>17</v>
      </c>
      <c r="G11" s="54" t="n">
        <v>16</v>
      </c>
      <c r="H11" s="54" t="n">
        <v>15</v>
      </c>
      <c r="I11" s="54" t="n">
        <v>17</v>
      </c>
      <c r="J11" s="54" t="n">
        <v>11</v>
      </c>
      <c r="K11" s="54" t="n">
        <v>15</v>
      </c>
      <c r="L11" s="54" t="n">
        <v>14</v>
      </c>
      <c r="M11" s="54" t="n">
        <v>20</v>
      </c>
      <c r="N11" s="54" t="n">
        <v>10</v>
      </c>
      <c r="O11" s="54" t="n">
        <v>6</v>
      </c>
      <c r="P11" s="54" t="n">
        <v>10</v>
      </c>
      <c r="Q11" s="54" t="n">
        <v>16</v>
      </c>
      <c r="R11" s="54" t="n">
        <v>9</v>
      </c>
      <c r="S11" s="54" t="n">
        <v>1</v>
      </c>
      <c r="T11" s="54" t="n">
        <v>0</v>
      </c>
      <c r="U11" s="54" t="n">
        <v>0</v>
      </c>
      <c r="V11" s="54" t="n">
        <v>3</v>
      </c>
      <c r="W11" s="54" t="n">
        <v>5</v>
      </c>
    </row>
    <row r="12" customFormat="false" ht="20.05" hidden="false" customHeight="true" outlineLevel="0" collapsed="false">
      <c r="A12" s="5" t="s">
        <v>14</v>
      </c>
      <c r="B12" s="54" t="n">
        <v>187</v>
      </c>
      <c r="C12" s="54" t="n">
        <v>192</v>
      </c>
      <c r="D12" s="54" t="n">
        <v>186</v>
      </c>
      <c r="E12" s="54" t="n">
        <v>132</v>
      </c>
      <c r="F12" s="54" t="n">
        <v>181</v>
      </c>
      <c r="G12" s="54" t="n">
        <v>150</v>
      </c>
      <c r="H12" s="54" t="n">
        <v>149</v>
      </c>
      <c r="I12" s="54" t="n">
        <v>172</v>
      </c>
      <c r="J12" s="54" t="n">
        <v>158</v>
      </c>
      <c r="K12" s="54" t="n">
        <v>170</v>
      </c>
      <c r="L12" s="54" t="n">
        <v>160</v>
      </c>
      <c r="M12" s="54" t="n">
        <v>179</v>
      </c>
      <c r="N12" s="54" t="n">
        <v>148</v>
      </c>
      <c r="O12" s="54" t="n">
        <v>141</v>
      </c>
      <c r="P12" s="54" t="n">
        <v>149</v>
      </c>
      <c r="Q12" s="54" t="n">
        <v>123</v>
      </c>
      <c r="R12" s="54" t="n">
        <v>133</v>
      </c>
      <c r="S12" s="54" t="n">
        <v>111</v>
      </c>
      <c r="T12" s="54" t="n">
        <v>116</v>
      </c>
      <c r="U12" s="54" t="n">
        <v>119</v>
      </c>
      <c r="V12" s="54" t="n">
        <v>126</v>
      </c>
      <c r="W12" s="54" t="n">
        <v>117</v>
      </c>
      <c r="X12" s="1" t="n">
        <v>118</v>
      </c>
      <c r="Y12" s="1" t="n">
        <v>97</v>
      </c>
    </row>
    <row r="13" customFormat="false" ht="20.05" hidden="false" customHeight="true" outlineLevel="0" collapsed="false">
      <c r="A13" s="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customFormat="false" ht="20.05" hidden="false" customHeight="true" outlineLevel="0" collapsed="false">
      <c r="A14" s="3"/>
      <c r="B14" s="42" t="s">
        <v>71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9"/>
    </row>
    <row r="15" customFormat="false" ht="20.05" hidden="false" customHeight="true" outlineLevel="0" collapsed="false">
      <c r="A15" s="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9"/>
    </row>
    <row r="16" customFormat="false" ht="44.05" hidden="false" customHeight="true" outlineLevel="0" collapsed="false">
      <c r="A16" s="5" t="s">
        <v>60</v>
      </c>
      <c r="B16" s="55" t="n">
        <v>0.244464280381787</v>
      </c>
      <c r="C16" s="55" t="n">
        <v>0.26685762863454</v>
      </c>
      <c r="D16" s="55" t="n">
        <v>0.228094802438957</v>
      </c>
      <c r="E16" s="55" t="n">
        <v>0.170128268207815</v>
      </c>
      <c r="F16" s="55" t="n">
        <v>0.29902979782097</v>
      </c>
      <c r="G16" s="55" t="n">
        <v>0.204710673243052</v>
      </c>
      <c r="H16" s="55" t="n">
        <v>0.189987448544725</v>
      </c>
      <c r="I16" s="55" t="n">
        <v>0.234426028868979</v>
      </c>
      <c r="J16" s="55" t="n">
        <v>0.145817570521468</v>
      </c>
      <c r="K16" s="55" t="n">
        <v>0.222765662823249</v>
      </c>
      <c r="L16" s="55" t="n">
        <v>0.183580058490539</v>
      </c>
      <c r="M16" s="55" t="n">
        <v>0.19296387462198</v>
      </c>
      <c r="N16" s="55" t="n">
        <v>0.221966378270148</v>
      </c>
      <c r="O16" s="55" t="n">
        <v>0.196654139368144</v>
      </c>
      <c r="P16" s="55" t="n">
        <v>0.190757174716824</v>
      </c>
      <c r="Q16" s="55" t="n">
        <v>0.142696424060044</v>
      </c>
      <c r="R16" s="55" t="n">
        <v>0.204988782720968</v>
      </c>
      <c r="S16" s="55" t="n">
        <v>0.17951308544317</v>
      </c>
      <c r="T16" s="55" t="n">
        <v>0.196845940771779</v>
      </c>
      <c r="U16" s="55" t="n">
        <v>0.178273233574713</v>
      </c>
      <c r="V16" s="55" t="n">
        <v>0.202279675361017</v>
      </c>
      <c r="W16" s="55" t="n">
        <v>0.16</v>
      </c>
      <c r="X16" s="56" t="n">
        <f aca="false">X6/X35*100000</f>
        <v>0.20568103124231</v>
      </c>
      <c r="Y16" s="56" t="n">
        <f aca="false">Y6/Y35*100000</f>
        <v>0.205042345808255</v>
      </c>
    </row>
    <row r="17" customFormat="false" ht="56.05" hidden="false" customHeight="true" outlineLevel="0" collapsed="false">
      <c r="A17" s="5" t="s">
        <v>61</v>
      </c>
      <c r="B17" s="55" t="n">
        <v>0</v>
      </c>
      <c r="C17" s="55" t="n">
        <v>0</v>
      </c>
      <c r="D17" s="55" t="n">
        <v>0.0134173413199387</v>
      </c>
      <c r="E17" s="55" t="n">
        <v>0.010007545188695</v>
      </c>
      <c r="F17" s="55" t="n">
        <v>0.00332255330912189</v>
      </c>
      <c r="G17" s="55" t="n">
        <v>0.00660357010461458</v>
      </c>
      <c r="H17" s="55" t="n">
        <v>0.0262051653165138</v>
      </c>
      <c r="I17" s="55" t="n">
        <v>0.0358150877438718</v>
      </c>
      <c r="J17" s="55" t="n">
        <v>0.0550866377525546</v>
      </c>
      <c r="K17" s="55" t="n">
        <v>0.0419703422710469</v>
      </c>
      <c r="L17" s="55" t="n">
        <v>0.0547519472691081</v>
      </c>
      <c r="M17" s="55" t="n">
        <v>0.0514570332325279</v>
      </c>
      <c r="N17" s="55" t="n">
        <v>0.0386028483948083</v>
      </c>
      <c r="O17" s="55" t="n">
        <v>0.029014545152677</v>
      </c>
      <c r="P17" s="55" t="n">
        <v>0.054963931698068</v>
      </c>
      <c r="Q17" s="55" t="n">
        <v>0.0324310054681918</v>
      </c>
      <c r="R17" s="55" t="n">
        <v>0.0325379020192013</v>
      </c>
      <c r="S17" s="55" t="n">
        <v>0.0424303656502037</v>
      </c>
      <c r="T17" s="55" t="n">
        <v>0.0229653597567076</v>
      </c>
      <c r="U17" s="55" t="n">
        <v>0.052821698836952</v>
      </c>
      <c r="V17" s="55"/>
      <c r="W17" s="55" t="n">
        <v>0.05</v>
      </c>
      <c r="X17" s="56"/>
      <c r="Y17" s="56"/>
    </row>
    <row r="18" customFormat="false" ht="20.05" hidden="false" customHeight="true" outlineLevel="0" collapsed="false">
      <c r="A18" s="5" t="s">
        <v>10</v>
      </c>
      <c r="B18" s="55" t="n">
        <v>0.0883237467531256</v>
      </c>
      <c r="C18" s="55" t="n">
        <v>0.0810706719902399</v>
      </c>
      <c r="D18" s="55" t="n">
        <v>0.134173413199387</v>
      </c>
      <c r="E18" s="55" t="n">
        <v>0.0800603615095601</v>
      </c>
      <c r="F18" s="55" t="n">
        <v>0.0996765992736566</v>
      </c>
      <c r="G18" s="55" t="n">
        <v>0.108958906726141</v>
      </c>
      <c r="H18" s="55" t="n">
        <v>0.131025826582569</v>
      </c>
      <c r="I18" s="55" t="n">
        <v>0.120468931502114</v>
      </c>
      <c r="J18" s="55" t="n">
        <v>0.119894446873207</v>
      </c>
      <c r="K18" s="55" t="n">
        <v>0.0968546360101081</v>
      </c>
      <c r="L18" s="55" t="n">
        <v>0.103062488977145</v>
      </c>
      <c r="M18" s="55" t="n">
        <v>0.131858647658353</v>
      </c>
      <c r="N18" s="55" t="n">
        <v>0.106157833085723</v>
      </c>
      <c r="O18" s="55" t="n">
        <v>0.116058180610708</v>
      </c>
      <c r="P18" s="55" t="n">
        <v>0.106694690943308</v>
      </c>
      <c r="Q18" s="55" t="n">
        <v>0.113508519138671</v>
      </c>
      <c r="R18" s="55" t="n">
        <v>0.107375076663364</v>
      </c>
      <c r="S18" s="55" t="n">
        <v>0.0815968570196226</v>
      </c>
      <c r="T18" s="55" t="n">
        <v>0.0984229703858897</v>
      </c>
      <c r="U18" s="55" t="n">
        <v>0.099040685319285</v>
      </c>
      <c r="V18" s="55" t="n">
        <v>0.142590590828258</v>
      </c>
      <c r="W18" s="55" t="n">
        <v>0.1</v>
      </c>
      <c r="X18" s="1" t="n">
        <f aca="false">X8/X35*100000</f>
        <v>0.129380003523388</v>
      </c>
      <c r="Y18" s="1" t="n">
        <f aca="false">Y8/Y35*100000</f>
        <v>0.076064096025643</v>
      </c>
    </row>
    <row r="19" customFormat="false" ht="20.05" hidden="false" customHeight="true" outlineLevel="0" collapsed="false">
      <c r="A19" s="5" t="s">
        <v>11</v>
      </c>
      <c r="B19" s="55" t="n">
        <v>0</v>
      </c>
      <c r="C19" s="55" t="n">
        <v>0</v>
      </c>
      <c r="D19" s="55" t="n">
        <v>0.0234803473098927</v>
      </c>
      <c r="E19" s="55" t="n">
        <v>0.030022635566085</v>
      </c>
      <c r="F19" s="55" t="n">
        <v>0.029902979782097</v>
      </c>
      <c r="G19" s="55" t="n">
        <v>0.0165089252615365</v>
      </c>
      <c r="H19" s="55" t="n">
        <v>0.0163782283228211</v>
      </c>
      <c r="I19" s="55" t="n">
        <v>0.0553505901496201</v>
      </c>
      <c r="J19" s="55" t="n">
        <v>0.0874905423128809</v>
      </c>
      <c r="K19" s="55" t="n">
        <v>0.0742552209410829</v>
      </c>
      <c r="L19" s="55" t="n">
        <v>0.0515312444885724</v>
      </c>
      <c r="M19" s="55" t="n">
        <v>0.0675373561176929</v>
      </c>
      <c r="N19" s="55" t="n">
        <v>0.041819752427709</v>
      </c>
      <c r="O19" s="55" t="n">
        <v>0.0354622218532718</v>
      </c>
      <c r="P19" s="55" t="n">
        <v>0.0290985520754478</v>
      </c>
      <c r="Q19" s="55" t="n">
        <v>0.0324310054681918</v>
      </c>
      <c r="R19" s="55" t="n">
        <v>0.00650758040384027</v>
      </c>
      <c r="S19" s="55" t="n">
        <v>0.0163193714039245</v>
      </c>
      <c r="T19" s="55" t="n">
        <v>0.0328076567952966</v>
      </c>
      <c r="U19" s="55" t="n">
        <v>0.019808137063857</v>
      </c>
      <c r="V19" s="55" t="n">
        <v>0.00994818075545987</v>
      </c>
      <c r="W19" s="55" t="n">
        <v>0.03</v>
      </c>
    </row>
    <row r="20" customFormat="false" ht="44.05" hidden="false" customHeight="true" outlineLevel="0" collapsed="false">
      <c r="A20" s="5" t="s">
        <v>12</v>
      </c>
      <c r="B20" s="55" t="n">
        <v>0.244588837162502</v>
      </c>
      <c r="C20" s="55" t="n">
        <v>0.22970023730568</v>
      </c>
      <c r="D20" s="55" t="n">
        <v>0.144236419189341</v>
      </c>
      <c r="E20" s="55" t="n">
        <v>0.10007545188695</v>
      </c>
      <c r="F20" s="55" t="n">
        <v>0.112966812510144</v>
      </c>
      <c r="G20" s="55" t="n">
        <v>0.105657121673833</v>
      </c>
      <c r="H20" s="55" t="n">
        <v>0.0753398502849771</v>
      </c>
      <c r="I20" s="55" t="n">
        <v>0.0586065072172448</v>
      </c>
      <c r="J20" s="55" t="n">
        <v>0.0680481995766851</v>
      </c>
      <c r="K20" s="55" t="n">
        <v>0.0645697573400721</v>
      </c>
      <c r="L20" s="55" t="n">
        <v>0.0772968667328585</v>
      </c>
      <c r="M20" s="55" t="n">
        <v>0.0675373561176929</v>
      </c>
      <c r="N20" s="55" t="n">
        <v>0.0353859443619076</v>
      </c>
      <c r="O20" s="55" t="n">
        <v>0.0580290903053539</v>
      </c>
      <c r="P20" s="55" t="n">
        <v>0.0678966215093781</v>
      </c>
      <c r="Q20" s="55" t="n">
        <v>0.0259448043745535</v>
      </c>
      <c r="R20" s="55" t="n">
        <v>0.0520606432307221</v>
      </c>
      <c r="S20" s="55" t="n">
        <v>0.0391664913694188</v>
      </c>
      <c r="T20" s="55" t="n">
        <v>0.0295268911157669</v>
      </c>
      <c r="U20" s="55" t="n">
        <v>0.0429176303050235</v>
      </c>
      <c r="V20" s="55" t="n">
        <v>0.0530569640291193</v>
      </c>
      <c r="W20" s="55" t="n">
        <v>0.03</v>
      </c>
    </row>
    <row r="21" customFormat="false" ht="32.05" hidden="false" customHeight="true" outlineLevel="0" collapsed="false">
      <c r="A21" s="5" t="s">
        <v>13</v>
      </c>
      <c r="B21" s="55" t="n">
        <v>0.0577501421078129</v>
      </c>
      <c r="C21" s="55" t="n">
        <v>0.0709368379914599</v>
      </c>
      <c r="D21" s="55" t="n">
        <v>0.080504047919632</v>
      </c>
      <c r="E21" s="55" t="n">
        <v>0.0500377259434751</v>
      </c>
      <c r="F21" s="55" t="n">
        <v>0.0564834062550721</v>
      </c>
      <c r="G21" s="55" t="n">
        <v>0.0528285608369167</v>
      </c>
      <c r="H21" s="55" t="n">
        <v>0.0491346849684633</v>
      </c>
      <c r="I21" s="55" t="n">
        <v>0.0553505901496201</v>
      </c>
      <c r="J21" s="55" t="n">
        <v>0.0356442950163589</v>
      </c>
      <c r="K21" s="55" t="n">
        <v>0.0484273180050541</v>
      </c>
      <c r="L21" s="55" t="n">
        <v>0.0450898389275008</v>
      </c>
      <c r="M21" s="55" t="n">
        <v>0.0643212915406599</v>
      </c>
      <c r="N21" s="55" t="n">
        <v>0.0321690403290069</v>
      </c>
      <c r="O21" s="55" t="n">
        <v>0.0193430301017846</v>
      </c>
      <c r="P21" s="55" t="n">
        <v>0.0323317245282753</v>
      </c>
      <c r="Q21" s="55" t="n">
        <v>0.0518896087491069</v>
      </c>
      <c r="R21" s="55" t="n">
        <v>0.0292841118172812</v>
      </c>
      <c r="S21" s="55" t="n">
        <v>0.0032638742807849</v>
      </c>
      <c r="T21" s="55" t="n">
        <v>0</v>
      </c>
      <c r="U21" s="55" t="n">
        <v>0</v>
      </c>
      <c r="V21" s="55" t="n">
        <v>0.00994818075545987</v>
      </c>
      <c r="W21" s="55" t="n">
        <v>0.02</v>
      </c>
    </row>
    <row r="22" customFormat="false" ht="20.05" hidden="false" customHeight="true" outlineLevel="0" collapsed="false">
      <c r="A22" s="5" t="s">
        <v>14</v>
      </c>
      <c r="B22" s="55" t="n">
        <v>0.635251563185942</v>
      </c>
      <c r="C22" s="55" t="n">
        <v>0.648565375921919</v>
      </c>
      <c r="D22" s="55" t="n">
        <v>0.623906371377148</v>
      </c>
      <c r="E22" s="55" t="n">
        <v>0.440331988302581</v>
      </c>
      <c r="F22" s="55" t="n">
        <v>0.601382148951062</v>
      </c>
      <c r="G22" s="55" t="n">
        <v>0.495267757846094</v>
      </c>
      <c r="H22" s="55" t="n">
        <v>0.488071204020069</v>
      </c>
      <c r="I22" s="55" t="n">
        <v>0.560017735631451</v>
      </c>
      <c r="J22" s="55" t="n">
        <v>0.511981692053155</v>
      </c>
      <c r="K22" s="55" t="n">
        <v>0.548842937390613</v>
      </c>
      <c r="L22" s="55" t="n">
        <v>0.515312444885724</v>
      </c>
      <c r="M22" s="55" t="n">
        <v>0.575675559288906</v>
      </c>
      <c r="N22" s="55" t="n">
        <v>0.476101796869303</v>
      </c>
      <c r="O22" s="55" t="n">
        <v>0.454561207391939</v>
      </c>
      <c r="P22" s="55" t="n">
        <v>0.481742695471302</v>
      </c>
      <c r="Q22" s="55" t="n">
        <v>0.39890136725876</v>
      </c>
      <c r="R22" s="55" t="n">
        <v>0.432754096855378</v>
      </c>
      <c r="S22" s="55" t="n">
        <v>0.362290045167124</v>
      </c>
      <c r="T22" s="55" t="n">
        <v>0.38056881882544</v>
      </c>
      <c r="U22" s="55" t="n">
        <v>0.392861385099831</v>
      </c>
      <c r="V22" s="55" t="n">
        <v>0.417823591729315</v>
      </c>
      <c r="W22" s="55" t="n">
        <v>0.39</v>
      </c>
      <c r="X22" s="1" t="n">
        <f aca="false">X12/X35*100000</f>
        <v>0.391457446557944</v>
      </c>
      <c r="Y22" s="1" t="n">
        <f aca="false">Y12*100000/Y35</f>
        <v>0.320792057151625</v>
      </c>
    </row>
    <row r="23" customFormat="false" ht="20.05" hidden="false" customHeight="true" outlineLevel="0" collapsed="false">
      <c r="A23" s="5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customFormat="false" ht="20.05" hidden="false" customHeight="true" outlineLevel="0" collapsed="false">
      <c r="A24" s="3"/>
      <c r="B24" s="42" t="s">
        <v>18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9"/>
    </row>
    <row r="25" customFormat="false" ht="20.05" hidden="false" customHeight="true" outlineLevel="0" collapsed="false">
      <c r="A25" s="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9"/>
    </row>
    <row r="26" customFormat="false" ht="44.05" hidden="false" customHeight="true" outlineLevel="0" collapsed="false">
      <c r="A26" s="5" t="s">
        <v>69</v>
      </c>
      <c r="B26" s="58" t="n">
        <v>38.5026737967914</v>
      </c>
      <c r="C26" s="58" t="n">
        <v>41.1458333333333</v>
      </c>
      <c r="D26" s="58" t="n">
        <v>36.5591397849462</v>
      </c>
      <c r="E26" s="58" t="n">
        <v>38.6363636363636</v>
      </c>
      <c r="F26" s="58" t="n">
        <v>49.7237569060773</v>
      </c>
      <c r="G26" s="58" t="n">
        <v>41.3333333333333</v>
      </c>
      <c r="H26" s="58" t="n">
        <v>38.9261744966443</v>
      </c>
      <c r="I26" s="58" t="n">
        <v>41.8604651162791</v>
      </c>
      <c r="J26" s="58" t="n">
        <v>28.4810126582279</v>
      </c>
      <c r="K26" s="58" t="n">
        <v>40.5882352941176</v>
      </c>
      <c r="L26" s="58" t="n">
        <v>35.625</v>
      </c>
      <c r="M26" s="58" t="n">
        <v>33.5195530726257</v>
      </c>
      <c r="N26" s="58" t="n">
        <v>46.6216216216216</v>
      </c>
      <c r="O26" s="58" t="n">
        <v>43.2624113475177</v>
      </c>
      <c r="P26" s="58" t="n">
        <v>39.5973154362416</v>
      </c>
      <c r="Q26" s="58" t="n">
        <v>35.7723577235772</v>
      </c>
      <c r="R26" s="58" t="n">
        <v>47.3684210526316</v>
      </c>
      <c r="S26" s="58" t="n">
        <v>49.5495495495495</v>
      </c>
      <c r="T26" s="58" t="n">
        <v>51.7241379310345</v>
      </c>
      <c r="U26" s="58" t="n">
        <v>45.3781512605042</v>
      </c>
      <c r="V26" s="58" t="n">
        <v>48.4126984126984</v>
      </c>
      <c r="W26" s="59" t="n">
        <v>41</v>
      </c>
    </row>
    <row r="27" customFormat="false" ht="56.05" hidden="false" customHeight="true" outlineLevel="0" collapsed="false">
      <c r="A27" s="5" t="s">
        <v>70</v>
      </c>
      <c r="B27" s="58" t="n">
        <v>0</v>
      </c>
      <c r="C27" s="58" t="n">
        <v>0</v>
      </c>
      <c r="D27" s="58" t="n">
        <v>2.1505376344086</v>
      </c>
      <c r="E27" s="58" t="n">
        <v>2.27272727272727</v>
      </c>
      <c r="F27" s="58" t="n">
        <v>0.552486187845304</v>
      </c>
      <c r="G27" s="58" t="n">
        <v>1.33333333333333</v>
      </c>
      <c r="H27" s="58" t="n">
        <v>5.36912751677852</v>
      </c>
      <c r="I27" s="58" t="n">
        <v>6.3953488372093</v>
      </c>
      <c r="J27" s="58" t="n">
        <v>10.7594936708861</v>
      </c>
      <c r="K27" s="58" t="n">
        <v>7.64705882352941</v>
      </c>
      <c r="L27" s="58" t="n">
        <v>10.625</v>
      </c>
      <c r="M27" s="58" t="n">
        <v>8.93854748603352</v>
      </c>
      <c r="N27" s="58" t="n">
        <v>8.10810810810811</v>
      </c>
      <c r="O27" s="58" t="n">
        <v>6.38297872340426</v>
      </c>
      <c r="P27" s="58" t="n">
        <v>11.4093959731544</v>
      </c>
      <c r="Q27" s="58" t="n">
        <v>8.13008130081301</v>
      </c>
      <c r="R27" s="58" t="n">
        <v>7.5187969924812</v>
      </c>
      <c r="S27" s="58" t="n">
        <v>11.7117117117117</v>
      </c>
      <c r="T27" s="58" t="n">
        <v>6.03448275862069</v>
      </c>
      <c r="U27" s="58" t="n">
        <v>13.4453781512605</v>
      </c>
      <c r="V27" s="58"/>
      <c r="W27" s="58" t="n">
        <v>12.8</v>
      </c>
    </row>
    <row r="28" customFormat="false" ht="20.05" hidden="false" customHeight="true" outlineLevel="0" collapsed="false">
      <c r="A28" s="5" t="s">
        <v>10</v>
      </c>
      <c r="B28" s="58" t="n">
        <v>13.903743315508</v>
      </c>
      <c r="C28" s="58" t="n">
        <v>12.5</v>
      </c>
      <c r="D28" s="58" t="n">
        <v>21.505376344086</v>
      </c>
      <c r="E28" s="58" t="n">
        <v>18.1818181818182</v>
      </c>
      <c r="F28" s="58" t="n">
        <v>16.5745856353591</v>
      </c>
      <c r="G28" s="58" t="n">
        <v>22</v>
      </c>
      <c r="H28" s="58" t="n">
        <v>26.8456375838926</v>
      </c>
      <c r="I28" s="58" t="n">
        <v>21.5116279069767</v>
      </c>
      <c r="J28" s="58" t="n">
        <v>23.4177215189873</v>
      </c>
      <c r="K28" s="58" t="n">
        <v>17.6470588235294</v>
      </c>
      <c r="L28" s="58" t="n">
        <v>20</v>
      </c>
      <c r="M28" s="58" t="n">
        <v>22.9050279329609</v>
      </c>
      <c r="N28" s="58" t="n">
        <v>22.2972972972973</v>
      </c>
      <c r="O28" s="58" t="n">
        <v>25.531914893617</v>
      </c>
      <c r="P28" s="58" t="n">
        <v>22.1476510067114</v>
      </c>
      <c r="Q28" s="58" t="n">
        <v>28.4552845528455</v>
      </c>
      <c r="R28" s="58" t="n">
        <v>24.812030075188</v>
      </c>
      <c r="S28" s="58" t="n">
        <v>22.5225225225225</v>
      </c>
      <c r="T28" s="58" t="n">
        <v>25.8620689655172</v>
      </c>
      <c r="U28" s="58" t="n">
        <v>25.2100840336134</v>
      </c>
      <c r="V28" s="58" t="n">
        <v>34.1269841269841</v>
      </c>
      <c r="W28" s="58" t="n">
        <v>26.5</v>
      </c>
    </row>
    <row r="29" customFormat="false" ht="20.05" hidden="false" customHeight="true" outlineLevel="0" collapsed="false">
      <c r="A29" s="5" t="s">
        <v>11</v>
      </c>
      <c r="B29" s="58" t="n">
        <v>0</v>
      </c>
      <c r="C29" s="58" t="n">
        <v>0</v>
      </c>
      <c r="D29" s="58" t="n">
        <v>3.76344086021505</v>
      </c>
      <c r="E29" s="58" t="n">
        <v>6.81818181818182</v>
      </c>
      <c r="F29" s="58" t="n">
        <v>4.97237569060773</v>
      </c>
      <c r="G29" s="58" t="n">
        <v>3.33333333333333</v>
      </c>
      <c r="H29" s="58" t="n">
        <v>3.35570469798658</v>
      </c>
      <c r="I29" s="58" t="n">
        <v>9.88372093023256</v>
      </c>
      <c r="J29" s="58" t="n">
        <v>17.0886075949367</v>
      </c>
      <c r="K29" s="58" t="n">
        <v>13.5294117647059</v>
      </c>
      <c r="L29" s="58" t="n">
        <v>10</v>
      </c>
      <c r="M29" s="58" t="n">
        <v>11.731843575419</v>
      </c>
      <c r="N29" s="58" t="n">
        <v>8.78378378378378</v>
      </c>
      <c r="O29" s="58" t="n">
        <v>7.80141843971631</v>
      </c>
      <c r="P29" s="58" t="n">
        <v>6.04026845637584</v>
      </c>
      <c r="Q29" s="58" t="n">
        <v>8.13008130081301</v>
      </c>
      <c r="R29" s="58" t="n">
        <v>1.50375939849624</v>
      </c>
      <c r="S29" s="58" t="n">
        <v>4.5045045045045</v>
      </c>
      <c r="T29" s="58" t="n">
        <v>8.62068965517241</v>
      </c>
      <c r="U29" s="58" t="n">
        <v>5.04201680672269</v>
      </c>
      <c r="V29" s="58" t="n">
        <v>2.38095238095238</v>
      </c>
      <c r="W29" s="9" t="n">
        <v>7.7</v>
      </c>
    </row>
    <row r="30" customFormat="false" ht="44.05" hidden="false" customHeight="true" outlineLevel="0" collapsed="false">
      <c r="A30" s="5" t="s">
        <v>12</v>
      </c>
      <c r="B30" s="58" t="n">
        <v>38.5026737967914</v>
      </c>
      <c r="C30" s="58" t="n">
        <v>35.4166666666667</v>
      </c>
      <c r="D30" s="58" t="n">
        <v>23.1182795698925</v>
      </c>
      <c r="E30" s="58" t="n">
        <v>22.7272727272727</v>
      </c>
      <c r="F30" s="58" t="n">
        <v>18.7845303867403</v>
      </c>
      <c r="G30" s="58" t="n">
        <v>21.3333333333333</v>
      </c>
      <c r="H30" s="58" t="n">
        <v>15.4362416107383</v>
      </c>
      <c r="I30" s="58" t="n">
        <v>10.4651162790698</v>
      </c>
      <c r="J30" s="58" t="n">
        <v>13.2911392405063</v>
      </c>
      <c r="K30" s="58" t="n">
        <v>11.7647058823529</v>
      </c>
      <c r="L30" s="58" t="n">
        <v>15</v>
      </c>
      <c r="M30" s="58" t="n">
        <v>11.731843575419</v>
      </c>
      <c r="N30" s="58" t="n">
        <v>7.43243243243243</v>
      </c>
      <c r="O30" s="58" t="n">
        <v>12.7659574468085</v>
      </c>
      <c r="P30" s="58" t="n">
        <v>14.0939597315436</v>
      </c>
      <c r="Q30" s="58" t="n">
        <v>6.50406504065041</v>
      </c>
      <c r="R30" s="58" t="n">
        <v>12.0300751879699</v>
      </c>
      <c r="S30" s="58" t="n">
        <v>10.8108108108108</v>
      </c>
      <c r="T30" s="58" t="n">
        <v>7.75862068965517</v>
      </c>
      <c r="U30" s="58" t="n">
        <v>10.9243697478992</v>
      </c>
      <c r="V30" s="58" t="n">
        <v>12.6984126984127</v>
      </c>
      <c r="W30" s="58" t="n">
        <v>7.7</v>
      </c>
    </row>
    <row r="31" customFormat="false" ht="32.05" hidden="false" customHeight="true" outlineLevel="0" collapsed="false">
      <c r="A31" s="5" t="s">
        <v>13</v>
      </c>
      <c r="B31" s="58" t="n">
        <v>9.09090909090909</v>
      </c>
      <c r="C31" s="58" t="n">
        <v>10.9375</v>
      </c>
      <c r="D31" s="58" t="n">
        <v>12.9032258064516</v>
      </c>
      <c r="E31" s="58" t="n">
        <v>11.3636363636364</v>
      </c>
      <c r="F31" s="58" t="n">
        <v>9.39226519337017</v>
      </c>
      <c r="G31" s="58" t="n">
        <v>10.6666666666667</v>
      </c>
      <c r="H31" s="58" t="n">
        <v>10.0671140939597</v>
      </c>
      <c r="I31" s="58" t="n">
        <v>9.88372093023256</v>
      </c>
      <c r="J31" s="58" t="n">
        <v>6.9620253164557</v>
      </c>
      <c r="K31" s="58" t="n">
        <v>8.82352941176471</v>
      </c>
      <c r="L31" s="58" t="n">
        <v>8.75</v>
      </c>
      <c r="M31" s="58" t="n">
        <v>11.1731843575419</v>
      </c>
      <c r="N31" s="58" t="n">
        <v>6.75675675675676</v>
      </c>
      <c r="O31" s="58" t="n">
        <v>4.25531914893617</v>
      </c>
      <c r="P31" s="58" t="n">
        <v>6.71140939597315</v>
      </c>
      <c r="Q31" s="58" t="n">
        <v>13.0081300813008</v>
      </c>
      <c r="R31" s="58" t="n">
        <v>6.76691729323308</v>
      </c>
      <c r="S31" s="58" t="n">
        <v>0.900900900900901</v>
      </c>
      <c r="T31" s="58" t="n">
        <v>0</v>
      </c>
      <c r="U31" s="58" t="n">
        <v>0</v>
      </c>
      <c r="V31" s="58" t="n">
        <v>2.38095238095238</v>
      </c>
      <c r="W31" s="58" t="n">
        <v>4.3</v>
      </c>
    </row>
    <row r="32" customFormat="false" ht="20.05" hidden="false" customHeight="true" outlineLevel="0" collapsed="false">
      <c r="A32" s="5" t="s">
        <v>14</v>
      </c>
      <c r="B32" s="58" t="n">
        <v>100</v>
      </c>
      <c r="C32" s="58" t="n">
        <v>100</v>
      </c>
      <c r="D32" s="58" t="n">
        <v>100</v>
      </c>
      <c r="E32" s="58" t="n">
        <v>100</v>
      </c>
      <c r="F32" s="58" t="n">
        <v>100</v>
      </c>
      <c r="G32" s="58" t="n">
        <v>100</v>
      </c>
      <c r="H32" s="58" t="n">
        <v>100</v>
      </c>
      <c r="I32" s="58" t="n">
        <v>100</v>
      </c>
      <c r="J32" s="58" t="n">
        <v>100</v>
      </c>
      <c r="K32" s="58" t="n">
        <v>100</v>
      </c>
      <c r="L32" s="58" t="n">
        <v>100</v>
      </c>
      <c r="M32" s="58" t="n">
        <v>100</v>
      </c>
      <c r="N32" s="58" t="n">
        <v>100</v>
      </c>
      <c r="O32" s="58" t="n">
        <v>100</v>
      </c>
      <c r="P32" s="58" t="n">
        <v>100</v>
      </c>
      <c r="Q32" s="58" t="n">
        <v>100</v>
      </c>
      <c r="R32" s="58" t="n">
        <v>100</v>
      </c>
      <c r="S32" s="58" t="n">
        <v>100</v>
      </c>
      <c r="T32" s="58" t="n">
        <v>100</v>
      </c>
      <c r="U32" s="58" t="n">
        <v>100</v>
      </c>
      <c r="V32" s="58" t="n">
        <v>100</v>
      </c>
      <c r="W32" s="58" t="n">
        <v>100</v>
      </c>
    </row>
    <row r="35" customFormat="false" ht="19.9" hidden="false" customHeight="true" outlineLevel="0" collapsed="false">
      <c r="A35" s="1" t="s">
        <v>72</v>
      </c>
      <c r="X35" s="1" t="n">
        <f aca="false">58989749*0.511</f>
        <v>30143761.739</v>
      </c>
      <c r="Y35" s="1" t="n">
        <f aca="false">(0.513)*58942800</f>
        <v>30237656.4</v>
      </c>
    </row>
    <row r="42" customFormat="false" ht="19.9" hidden="false" customHeight="true" outlineLevel="0" collapsed="false">
      <c r="B42" s="1" t="s">
        <v>73</v>
      </c>
    </row>
    <row r="43" customFormat="false" ht="34.85" hidden="false" customHeight="true" outlineLevel="0" collapsed="false">
      <c r="A43" s="1" t="s">
        <v>66</v>
      </c>
      <c r="B43" s="1" t="n">
        <f aca="false">B16+B17</f>
        <v>0.244464280381787</v>
      </c>
      <c r="C43" s="1" t="n">
        <f aca="false">C16+C17</f>
        <v>0.26685762863454</v>
      </c>
      <c r="D43" s="1" t="n">
        <f aca="false">D16+D17</f>
        <v>0.241512143758896</v>
      </c>
      <c r="E43" s="1" t="n">
        <f aca="false">E16+E17</f>
        <v>0.18013581339651</v>
      </c>
      <c r="F43" s="1" t="n">
        <f aca="false">F16+F17</f>
        <v>0.302352351130092</v>
      </c>
      <c r="G43" s="1" t="n">
        <f aca="false">G16+G17</f>
        <v>0.211314243347667</v>
      </c>
      <c r="H43" s="1" t="n">
        <f aca="false">H16+H17</f>
        <v>0.216192613861239</v>
      </c>
      <c r="I43" s="1" t="n">
        <f aca="false">I16+I17</f>
        <v>0.270241116612851</v>
      </c>
      <c r="J43" s="1" t="n">
        <f aca="false">J16+J17</f>
        <v>0.200904208274023</v>
      </c>
      <c r="K43" s="1" t="n">
        <f aca="false">K16+K17</f>
        <v>0.264736005094296</v>
      </c>
      <c r="L43" s="1" t="n">
        <f aca="false">L16+L17</f>
        <v>0.238332005759647</v>
      </c>
      <c r="M43" s="1" t="n">
        <f aca="false">M16+M17</f>
        <v>0.244420907854508</v>
      </c>
      <c r="N43" s="1" t="n">
        <f aca="false">N16+N17</f>
        <v>0.260569226664956</v>
      </c>
      <c r="O43" s="1" t="n">
        <f aca="false">O16+O17</f>
        <v>0.225668684520821</v>
      </c>
      <c r="P43" s="1" t="n">
        <f aca="false">P16+P17</f>
        <v>0.245721106414892</v>
      </c>
      <c r="Q43" s="1" t="n">
        <f aca="false">Q16+Q17</f>
        <v>0.175127429528236</v>
      </c>
      <c r="R43" s="1" t="n">
        <f aca="false">R16+R17</f>
        <v>0.237526684740169</v>
      </c>
      <c r="S43" s="1" t="n">
        <f aca="false">S16+S17</f>
        <v>0.221943451093374</v>
      </c>
      <c r="T43" s="1" t="n">
        <f aca="false">T16+T17</f>
        <v>0.219811300528487</v>
      </c>
      <c r="U43" s="1" t="n">
        <f aca="false">U16+U17</f>
        <v>0.231094932411665</v>
      </c>
      <c r="V43" s="1" t="n">
        <f aca="false">V16+V17</f>
        <v>0.202279675361017</v>
      </c>
      <c r="W43" s="1" t="n">
        <f aca="false">W16+W17</f>
        <v>0.21</v>
      </c>
      <c r="X43" s="1" t="n">
        <f aca="false">X16+X17</f>
        <v>0.20568103124231</v>
      </c>
      <c r="Y43" s="1" t="n">
        <f aca="false">Y16+Y17</f>
        <v>0.205042345808255</v>
      </c>
    </row>
    <row r="44" customFormat="false" ht="60.65" hidden="false" customHeight="true" outlineLevel="0" collapsed="false">
      <c r="A44" s="1" t="s">
        <v>67</v>
      </c>
      <c r="B44" s="1" t="n">
        <f aca="false">B16+B17+B18</f>
        <v>0.332788027134913</v>
      </c>
      <c r="C44" s="1" t="n">
        <f aca="false">C16+C17+C18</f>
        <v>0.34792830062478</v>
      </c>
      <c r="D44" s="1" t="n">
        <f aca="false">D16+D17+D18</f>
        <v>0.375685556958283</v>
      </c>
      <c r="E44" s="1" t="n">
        <f aca="false">E16+E17+E18</f>
        <v>0.26019617490607</v>
      </c>
      <c r="F44" s="1" t="n">
        <f aca="false">F16+F17+F18</f>
        <v>0.402028950403749</v>
      </c>
      <c r="G44" s="1" t="n">
        <f aca="false">G16+G17+G18</f>
        <v>0.320273150073808</v>
      </c>
      <c r="H44" s="1" t="n">
        <f aca="false">H16+H17+H18</f>
        <v>0.347218440443808</v>
      </c>
      <c r="I44" s="1" t="n">
        <f aca="false">I16+I17+I18</f>
        <v>0.390710048114965</v>
      </c>
      <c r="J44" s="1" t="n">
        <f aca="false">J16+J17+J18</f>
        <v>0.32079865514723</v>
      </c>
      <c r="K44" s="1" t="n">
        <f aca="false">K16+K17+K18</f>
        <v>0.361590641104404</v>
      </c>
      <c r="L44" s="1" t="n">
        <f aca="false">L16+L17+L18</f>
        <v>0.341394494736792</v>
      </c>
      <c r="M44" s="1" t="n">
        <f aca="false">M16+M17+M18</f>
        <v>0.376279555512861</v>
      </c>
      <c r="N44" s="1" t="n">
        <f aca="false">N16+N17+N18</f>
        <v>0.366727059750679</v>
      </c>
      <c r="O44" s="1" t="n">
        <f aca="false">O16+O17+O18</f>
        <v>0.341726865131529</v>
      </c>
      <c r="P44" s="1" t="n">
        <f aca="false">P16+P17+P18</f>
        <v>0.3524157973582</v>
      </c>
      <c r="Q44" s="1" t="n">
        <f aca="false">Q16+Q17+Q18</f>
        <v>0.288635948666907</v>
      </c>
      <c r="R44" s="1" t="n">
        <f aca="false">R16+R17+R18</f>
        <v>0.344901761403533</v>
      </c>
      <c r="S44" s="1" t="n">
        <f aca="false">S16+S17+S18</f>
        <v>0.303540308112996</v>
      </c>
      <c r="T44" s="1" t="n">
        <f aca="false">T16+T17+T18</f>
        <v>0.318234270914376</v>
      </c>
      <c r="U44" s="1" t="n">
        <f aca="false">U16+U17+U18</f>
        <v>0.33013561773095</v>
      </c>
      <c r="V44" s="1" t="n">
        <f aca="false">V16+V17+V18</f>
        <v>0.344870266189275</v>
      </c>
      <c r="W44" s="1" t="n">
        <f aca="false">W16+W17+W18</f>
        <v>0.31</v>
      </c>
      <c r="X44" s="1" t="n">
        <f aca="false">X16+X17+X18</f>
        <v>0.335061034765698</v>
      </c>
      <c r="Y44" s="1" t="n">
        <f aca="false">Y16+Y17+Y18</f>
        <v>0.281106441833898</v>
      </c>
    </row>
    <row r="45" customFormat="false" ht="19.9" hidden="false" customHeight="true" outlineLevel="0" collapsed="false">
      <c r="A45" s="1" t="s">
        <v>68</v>
      </c>
      <c r="B45" s="1" t="n">
        <v>2002</v>
      </c>
      <c r="C45" s="1" t="n">
        <f aca="false">B45+1</f>
        <v>2003</v>
      </c>
      <c r="D45" s="1" t="n">
        <f aca="false">C45+1</f>
        <v>2004</v>
      </c>
      <c r="E45" s="1" t="n">
        <f aca="false">D45+1</f>
        <v>2005</v>
      </c>
      <c r="F45" s="1" t="n">
        <f aca="false">E45+1</f>
        <v>2006</v>
      </c>
      <c r="G45" s="1" t="n">
        <f aca="false">F45+1</f>
        <v>2007</v>
      </c>
      <c r="H45" s="1" t="n">
        <f aca="false">G45+1</f>
        <v>2008</v>
      </c>
      <c r="I45" s="1" t="n">
        <f aca="false">H45+1</f>
        <v>2009</v>
      </c>
      <c r="J45" s="1" t="n">
        <f aca="false">I45+1</f>
        <v>2010</v>
      </c>
      <c r="K45" s="1" t="n">
        <f aca="false">J45+1</f>
        <v>2011</v>
      </c>
      <c r="L45" s="1" t="n">
        <f aca="false">K45+1</f>
        <v>2012</v>
      </c>
      <c r="M45" s="1" t="n">
        <f aca="false">L45+1</f>
        <v>2013</v>
      </c>
      <c r="N45" s="1" t="n">
        <f aca="false">M45+1</f>
        <v>2014</v>
      </c>
      <c r="O45" s="1" t="n">
        <f aca="false">N45+1</f>
        <v>2015</v>
      </c>
      <c r="P45" s="1" t="n">
        <f aca="false">O45+1</f>
        <v>2016</v>
      </c>
      <c r="Q45" s="1" t="n">
        <f aca="false">P45+1</f>
        <v>2017</v>
      </c>
      <c r="R45" s="1" t="n">
        <f aca="false">Q45+1</f>
        <v>2018</v>
      </c>
      <c r="S45" s="1" t="n">
        <f aca="false">R45+1</f>
        <v>2019</v>
      </c>
      <c r="T45" s="1" t="n">
        <f aca="false">S45+1</f>
        <v>2020</v>
      </c>
      <c r="U45" s="1" t="n">
        <f aca="false">T45+1</f>
        <v>2021</v>
      </c>
      <c r="V45" s="1" t="n">
        <f aca="false">U45+1</f>
        <v>2022</v>
      </c>
      <c r="W45" s="1" t="n">
        <f aca="false">V45+1</f>
        <v>2023</v>
      </c>
      <c r="X45" s="1" t="n">
        <f aca="false">W45+1</f>
        <v>2024</v>
      </c>
      <c r="Y45" s="1" t="n">
        <f aca="false">X45+1</f>
        <v>2025</v>
      </c>
    </row>
  </sheetData>
  <mergeCells count="11">
    <mergeCell ref="A1:W1"/>
    <mergeCell ref="B4:V4"/>
    <mergeCell ref="V6:V7"/>
    <mergeCell ref="X6:X7"/>
    <mergeCell ref="Y6:Y7"/>
    <mergeCell ref="B14:V14"/>
    <mergeCell ref="V16:V17"/>
    <mergeCell ref="X16:X17"/>
    <mergeCell ref="Y16:Y17"/>
    <mergeCell ref="B24:V24"/>
    <mergeCell ref="V26:V27"/>
  </mergeCell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2026-07-21T12:39:27Z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